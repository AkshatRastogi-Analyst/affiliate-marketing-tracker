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Summary" sheetId="2" state="visible" r:id="rId4"/>
    <sheet name="Settings" sheetId="3" state="visible" r:id="rId5"/>
    <sheet name="Tracker" sheetId="4" state="visible" r:id="rId6"/>
  </sheets>
  <definedNames>
    <definedName function="false" hidden="true" localSheetId="3" name="_xlnm._FilterDatabase" vbProcedure="false">Tracker!$A$4:$N$304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<sst xmlns="http://schemas.openxmlformats.org/spreadsheetml/2006/main" count="211" uniqueCount="103">
  <si>
    <t xml:space="preserve">Affiliate Marketing Growth &amp; Tracking</t>
  </si>
  <si>
    <t xml:space="preserve">Excel tracker: which affiliate products and platforms get clicks and earn commission</t>
  </si>
  <si>
    <t xml:space="preserve">What this workbook does</t>
  </si>
  <si>
    <t xml:space="preserve">You log each promoted product once per row. The sheet works out commission, click-through rate, conversion and earnings per click, then marks each product Keep, Watch or Drop. Everything on Summary and in the charts is a formula, so it changes the moment you change a number.</t>
  </si>
  <si>
    <t xml:space="preserve">How to use it</t>
  </si>
  <si>
    <t xml:space="preserve">1</t>
  </si>
  <si>
    <t xml:space="preserve">Go to the Tracker sheet. Type in the yellow input columns A to H (blue text). Columns I to N fill in by themselves. There is room for 300 rows.</t>
  </si>
  <si>
    <t xml:space="preserve">2</t>
  </si>
  <si>
    <t xml:space="preserve">On Settings, change the cut-off numbers and the platform and category names if you need to.</t>
  </si>
  <si>
    <t xml:space="preserve">3</t>
  </si>
  <si>
    <t xml:space="preserve">Open the Summary sheet to compare platforms and categories and to see the Keep / Watch / Drop counts.</t>
  </si>
  <si>
    <t xml:space="preserve">Column meanings</t>
  </si>
  <si>
    <t xml:space="preserve">Post Views</t>
  </si>
  <si>
    <t xml:space="preserve">How many people saw the post or video.</t>
  </si>
  <si>
    <t xml:space="preserve">Clicks</t>
  </si>
  <si>
    <t xml:space="preserve">Clicks on the affiliate link.</t>
  </si>
  <si>
    <t xml:space="preserve">Orders</t>
  </si>
  <si>
    <t xml:space="preserve">Orders that came from those clicks.</t>
  </si>
  <si>
    <t xml:space="preserve">Commission per order</t>
  </si>
  <si>
    <t xml:space="preserve">What you earn on one order, in rupees. It can differ by product and platform.</t>
  </si>
  <si>
    <t xml:space="preserve">Commission</t>
  </si>
  <si>
    <t xml:space="preserve">Orders multiplied by Commission per order. It updates when you change Orders.</t>
  </si>
  <si>
    <t xml:space="preserve">CTR</t>
  </si>
  <si>
    <t xml:space="preserve">Clicks divided by Post Views.</t>
  </si>
  <si>
    <t xml:space="preserve">Conversion</t>
  </si>
  <si>
    <t xml:space="preserve">Orders divided by Clicks.</t>
  </si>
  <si>
    <t xml:space="preserve">Earnings per click</t>
  </si>
  <si>
    <t xml:space="preserve">Commission divided by Clicks.</t>
  </si>
  <si>
    <t xml:space="preserve">Data check</t>
  </si>
  <si>
    <t xml:space="preserve">Says Check numbers if Clicks are more than Post Views, Orders are more than Clicks, or any number is negative.</t>
  </si>
  <si>
    <t xml:space="preserve">Decision rules</t>
  </si>
  <si>
    <t xml:space="preserve">Need more data</t>
  </si>
  <si>
    <t xml:space="preserve">Clicks are below the minimum on the Settings sheet, so the numbers are too small to judge.</t>
  </si>
  <si>
    <t xml:space="preserve">Keep</t>
  </si>
  <si>
    <t xml:space="preserve">Conversion and earnings per click are both at or above the targets.</t>
  </si>
  <si>
    <t xml:space="preserve">Drop</t>
  </si>
  <si>
    <t xml:space="preserve">Both are below the targets.</t>
  </si>
  <si>
    <t xml:space="preserve">Watch</t>
  </si>
  <si>
    <t xml:space="preserve">One is above target and one is below.</t>
  </si>
  <si>
    <t xml:space="preserve">Summary sheet</t>
  </si>
  <si>
    <t xml:space="preserve">Other row</t>
  </si>
  <si>
    <t xml:space="preserve">Anything with a platform or category that is not on the Settings lists lands in the Other row, so the totals always match the Tracker.</t>
  </si>
  <si>
    <t xml:space="preserve">IMPORTANT</t>
  </si>
  <si>
    <t xml:space="preserve">The 30 rows in this file are SAMPLE DATA made up to show how the tracker works. They are not real results. Delete them and enter your own before drawing any conclusion.</t>
  </si>
  <si>
    <t xml:space="preserve">Colour legend</t>
  </si>
  <si>
    <t xml:space="preserve">Blue text, yellow cell</t>
  </si>
  <si>
    <t xml:space="preserve">Type here (inputs).</t>
  </si>
  <si>
    <t xml:space="preserve">Black text</t>
  </si>
  <si>
    <t xml:space="preserve">Formula. Do not type here.</t>
  </si>
  <si>
    <t xml:space="preserve">Summary</t>
  </si>
  <si>
    <t xml:space="preserve">Every number here is a formula built from the Tracker. Change the Tracker or Settings and this page and its charts update.</t>
  </si>
  <si>
    <t xml:space="preserve">By platform</t>
  </si>
  <si>
    <t xml:space="preserve">Platform</t>
  </si>
  <si>
    <t xml:space="preserve">Posts</t>
  </si>
  <si>
    <t xml:space="preserve">Commission (₹)</t>
  </si>
  <si>
    <t xml:space="preserve">Earnings per click (₹)</t>
  </si>
  <si>
    <t xml:space="preserve">Share of commission</t>
  </si>
  <si>
    <t xml:space="preserve">Other (not on Settings list)</t>
  </si>
  <si>
    <t xml:space="preserve">Total</t>
  </si>
  <si>
    <t xml:space="preserve">By category</t>
  </si>
  <si>
    <t xml:space="preserve">Category</t>
  </si>
  <si>
    <t xml:space="preserve">Decisions</t>
  </si>
  <si>
    <t xml:space="preserve">Decision</t>
  </si>
  <si>
    <t xml:space="preserve">Products</t>
  </si>
  <si>
    <t xml:space="preserve">Settings</t>
  </si>
  <si>
    <t xml:space="preserve">Change the yellow cells. The Tracker and Summary update automatically.</t>
  </si>
  <si>
    <t xml:space="preserve">Setting</t>
  </si>
  <si>
    <t xml:space="preserve">Value</t>
  </si>
  <si>
    <t xml:space="preserve">Note</t>
  </si>
  <si>
    <t xml:space="preserve">Platform names</t>
  </si>
  <si>
    <t xml:space="preserve">Category names</t>
  </si>
  <si>
    <t xml:space="preserve">Minimum clicks to judge a product</t>
  </si>
  <si>
    <t xml:space="preserve">Below this, the product is marked Need more data.</t>
  </si>
  <si>
    <t xml:space="preserve">Meesho</t>
  </si>
  <si>
    <t xml:space="preserve">Fashion</t>
  </si>
  <si>
    <t xml:space="preserve">Target conversion rate (orders / clicks)</t>
  </si>
  <si>
    <t xml:space="preserve">Assumption set by the author; adjust to your own goal.</t>
  </si>
  <si>
    <t xml:space="preserve">EarnKaro</t>
  </si>
  <si>
    <t xml:space="preserve">Home &amp; Kitchen</t>
  </si>
  <si>
    <t xml:space="preserve">Target earnings per click (₹)</t>
  </si>
  <si>
    <t xml:space="preserve">Flipkart</t>
  </si>
  <si>
    <t xml:space="preserve">Beauty</t>
  </si>
  <si>
    <t xml:space="preserve">Gadgets</t>
  </si>
  <si>
    <t xml:space="preserve">These names fill the Platform and Category dropdowns on Tracker and the tables on Summary.</t>
  </si>
  <si>
    <t xml:space="preserve">Tracker: one row per promoted product</t>
  </si>
  <si>
    <t xml:space="preserve">SAMPLE DATA: made-up numbers to show how the tracker works. Replace with your own.</t>
  </si>
  <si>
    <t xml:space="preserve">Date</t>
  </si>
  <si>
    <t xml:space="preserve">Product</t>
  </si>
  <si>
    <t xml:space="preserve">Commission per order (₹)</t>
  </si>
  <si>
    <t xml:space="preserve">Cotton Kurti Set</t>
  </si>
  <si>
    <t xml:space="preserve">Printed Saree</t>
  </si>
  <si>
    <t xml:space="preserve">Men's Casual Shirt</t>
  </si>
  <si>
    <t xml:space="preserve">Kids Ethnic Wear</t>
  </si>
  <si>
    <t xml:space="preserve">Kitchen Organizer Set</t>
  </si>
  <si>
    <t xml:space="preserve">Non-stick Tawa</t>
  </si>
  <si>
    <t xml:space="preserve">Storage Containers</t>
  </si>
  <si>
    <t xml:space="preserve">Bedsheet Combo</t>
  </si>
  <si>
    <t xml:space="preserve">Face Serum</t>
  </si>
  <si>
    <t xml:space="preserve">Hair Oil Combo</t>
  </si>
  <si>
    <t xml:space="preserve">Lipstick Pack</t>
  </si>
  <si>
    <t xml:space="preserve">Bluetooth Earbuds</t>
  </si>
  <si>
    <t xml:space="preserve">Phone Stand</t>
  </si>
  <si>
    <t xml:space="preserve">Smart Watch</t>
  </si>
</sst>
</file>

<file path=xl/styles.xml><?xml version="1.0" encoding="utf-8"?>
<styleSheet xmlns="http://schemas.openxmlformats.org/spreadsheetml/2006/main">
  <numFmts count="8">
    <numFmt numFmtId="164" formatCode="General"/>
    <numFmt numFmtId="165" formatCode="#,##0"/>
    <numFmt numFmtId="166" formatCode="\₹#,##0;&quot;(₹&quot;#,##0\);\-"/>
    <numFmt numFmtId="167" formatCode="0.0%;\(0.0%\);\-"/>
    <numFmt numFmtId="168" formatCode="\₹#,##0.00;&quot;(₹&quot;#,##0.00\);\-"/>
    <numFmt numFmtId="169" formatCode="0"/>
    <numFmt numFmtId="170" formatCode="0.0%"/>
    <numFmt numFmtId="171" formatCode="dd\-mmm\-yyyy"/>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C00000"/>
      <name val="Arial"/>
      <family val="0"/>
      <charset val="1"/>
    </font>
  </fonts>
  <fills count="4">
    <fill>
      <patternFill patternType="none"/>
    </fill>
    <fill>
      <patternFill patternType="gray125"/>
    </fill>
    <fill>
      <patternFill patternType="solid">
        <fgColor rgb="FFFFF2CC"/>
        <bgColor rgb="FFFFEB9C"/>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9" fontId="8"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70" fontId="8" fillId="2" borderId="1" xfId="0" applyFont="true" applyBorder="true" applyAlignment="false" applyProtection="false">
      <alignment horizontal="general" vertical="bottom" textRotation="0" wrapText="false" indent="0" shrinkToFit="false"/>
      <protection locked="true" hidden="false"/>
    </xf>
    <xf numFmtId="168" fontId="8"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5700"/>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F81BD"/>
      <rgbColor rgb="FF969696"/>
      <rgbColor rgb="FF1F3864"/>
      <rgbColor rgb="FF339966"/>
      <rgbColor rgb="FF003300"/>
      <rgbColor rgb="FF333300"/>
      <rgbColor rgb="FF9C57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Commission by platform (₹)</a:t>
            </a:r>
          </a:p>
        </c:rich>
      </c:tx>
      <c:overlay val="0"/>
      <c:spPr>
        <a:noFill/>
        <a:ln w="0">
          <a:noFill/>
        </a:ln>
      </c:spPr>
    </c:title>
    <c:autoTitleDeleted val="0"/>
    <c:plotArea>
      <c:barChart>
        <c:barDir val="col"/>
        <c:grouping val="clustered"/>
        <c:varyColors val="0"/>
        <c:ser>
          <c:idx val="0"/>
          <c:order val="0"/>
          <c:tx>
            <c:strRef>
              <c:f>Summary!F6</c:f>
              <c:strCache>
                <c:ptCount val="1"/>
                <c:pt idx="0">
                  <c:v>Commission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Summary!$A$7:$A$9</c:f>
              <c:strCache>
                <c:ptCount val="3"/>
                <c:pt idx="0">
                  <c:v>Meesho</c:v>
                </c:pt>
                <c:pt idx="1">
                  <c:v>EarnKaro</c:v>
                </c:pt>
                <c:pt idx="2">
                  <c:v>Flipkart</c:v>
                </c:pt>
              </c:strCache>
            </c:strRef>
          </c:cat>
          <c:val>
            <c:numRef>
              <c:f>Summary!$F$7:$F$9</c:f>
              <c:numCache>
                <c:formatCode>\₹#,##0;"(₹"#,##0\);\-</c:formatCode>
                <c:ptCount val="3"/>
                <c:pt idx="0">
                  <c:v>1145</c:v>
                </c:pt>
                <c:pt idx="1">
                  <c:v>1023</c:v>
                </c:pt>
                <c:pt idx="2">
                  <c:v>1109</c:v>
                </c:pt>
              </c:numCache>
            </c:numRef>
          </c:val>
        </c:ser>
        <c:gapWidth val="150"/>
        <c:overlap val="0"/>
        <c:axId val="59048853"/>
        <c:axId val="97955803"/>
      </c:barChart>
      <c:catAx>
        <c:axId val="590488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955803"/>
        <c:crosses val="autoZero"/>
        <c:auto val="1"/>
        <c:lblAlgn val="ctr"/>
        <c:lblOffset val="100"/>
        <c:noMultiLvlLbl val="0"/>
      </c:catAx>
      <c:valAx>
        <c:axId val="97955803"/>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488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Earnings per click by platform (₹)</a:t>
            </a:r>
          </a:p>
        </c:rich>
      </c:tx>
      <c:overlay val="0"/>
      <c:spPr>
        <a:noFill/>
        <a:ln w="0">
          <a:noFill/>
        </a:ln>
      </c:spPr>
    </c:title>
    <c:autoTitleDeleted val="0"/>
    <c:plotArea>
      <c:barChart>
        <c:barDir val="col"/>
        <c:grouping val="clustered"/>
        <c:varyColors val="0"/>
        <c:ser>
          <c:idx val="0"/>
          <c:order val="0"/>
          <c:tx>
            <c:strRef>
              <c:f>Summary!I6</c:f>
              <c:strCache>
                <c:ptCount val="1"/>
                <c:pt idx="0">
                  <c:v>Earnings per click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Summary!$A$7:$A$9</c:f>
              <c:strCache>
                <c:ptCount val="3"/>
                <c:pt idx="0">
                  <c:v>Meesho</c:v>
                </c:pt>
                <c:pt idx="1">
                  <c:v>EarnKaro</c:v>
                </c:pt>
                <c:pt idx="2">
                  <c:v>Flipkart</c:v>
                </c:pt>
              </c:strCache>
            </c:strRef>
          </c:cat>
          <c:val>
            <c:numRef>
              <c:f>Summary!$I$7:$I$9</c:f>
              <c:numCache>
                <c:formatCode>\₹#,##0.00;"(₹"#,##0.00\);\-</c:formatCode>
                <c:ptCount val="3"/>
                <c:pt idx="0">
                  <c:v>2.12430426716141</c:v>
                </c:pt>
                <c:pt idx="1">
                  <c:v>2.0920245398773</c:v>
                </c:pt>
                <c:pt idx="2">
                  <c:v>3.37082066869301</c:v>
                </c:pt>
              </c:numCache>
            </c:numRef>
          </c:val>
        </c:ser>
        <c:gapWidth val="150"/>
        <c:overlap val="0"/>
        <c:axId val="74389421"/>
        <c:axId val="62868010"/>
      </c:barChart>
      <c:catAx>
        <c:axId val="743894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868010"/>
        <c:crosses val="autoZero"/>
        <c:auto val="1"/>
        <c:lblAlgn val="ctr"/>
        <c:lblOffset val="100"/>
        <c:noMultiLvlLbl val="0"/>
      </c:catAx>
      <c:valAx>
        <c:axId val="62868010"/>
        <c:scaling>
          <c:orientation val="minMax"/>
          <c:min val="0"/>
        </c:scaling>
        <c:delete val="0"/>
        <c:axPos val="l"/>
        <c:majorGridlines>
          <c:spPr>
            <a:ln w="9360">
              <a:solidFill>
                <a:srgbClr val="878787"/>
              </a:solidFill>
              <a:round/>
            </a:ln>
          </c:spPr>
        </c:majorGridlines>
        <c:numFmt formatCode="\₹#,##0.00;&quot;(₹&quot;#,##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38942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xdr:row>
      <xdr:rowOff>160920</xdr:rowOff>
    </xdr:from>
    <xdr:to>
      <xdr:col>19</xdr:col>
      <xdr:colOff>147600</xdr:colOff>
      <xdr:row>14</xdr:row>
      <xdr:rowOff>165960</xdr:rowOff>
    </xdr:to>
    <xdr:graphicFrame>
      <xdr:nvGraphicFramePr>
        <xdr:cNvPr id="0" name="Chart 1"/>
        <xdr:cNvGraphicFramePr/>
      </xdr:nvGraphicFramePr>
      <xdr:xfrm>
        <a:off x="11748240" y="76212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18</xdr:row>
      <xdr:rowOff>160560</xdr:rowOff>
    </xdr:from>
    <xdr:to>
      <xdr:col>19</xdr:col>
      <xdr:colOff>147600</xdr:colOff>
      <xdr:row>32</xdr:row>
      <xdr:rowOff>13320</xdr:rowOff>
    </xdr:to>
    <xdr:graphicFrame>
      <xdr:nvGraphicFramePr>
        <xdr:cNvPr id="1" name="Chart 2"/>
        <xdr:cNvGraphicFramePr/>
      </xdr:nvGraphicFramePr>
      <xdr:xfrm>
        <a:off x="11748240" y="403848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5.05" hidden="false" customHeight="false" outlineLevel="0" collapsed="false">
      <c r="A5" s="4"/>
      <c r="B5" s="5" t="s">
        <v>3</v>
      </c>
    </row>
    <row r="6" customFormat="false" ht="15" hidden="false" customHeight="false" outlineLevel="0" collapsed="false">
      <c r="A6" s="3" t="s">
        <v>4</v>
      </c>
    </row>
    <row r="7" customFormat="false" ht="23.85" hidden="false" customHeight="false" outlineLevel="0" collapsed="false">
      <c r="A7" s="3" t="s">
        <v>5</v>
      </c>
      <c r="B7" s="5" t="s">
        <v>6</v>
      </c>
    </row>
    <row r="8" customFormat="false" ht="15" hidden="false" customHeight="false" outlineLevel="0" collapsed="false">
      <c r="A8" s="3" t="s">
        <v>7</v>
      </c>
      <c r="B8" s="5" t="s">
        <v>8</v>
      </c>
    </row>
    <row r="9" customFormat="false" ht="15" hidden="false" customHeight="false" outlineLevel="0" collapsed="false">
      <c r="A9" s="3" t="s">
        <v>9</v>
      </c>
      <c r="B9" s="5" t="s">
        <v>10</v>
      </c>
    </row>
    <row r="10" customFormat="false" ht="15" hidden="false" customHeight="false" outlineLevel="0" collapsed="false">
      <c r="A10" s="3" t="s">
        <v>11</v>
      </c>
    </row>
    <row r="11" customFormat="false" ht="15" hidden="false" customHeight="false" outlineLevel="0" collapsed="false">
      <c r="A11" s="3" t="s">
        <v>12</v>
      </c>
      <c r="B11" s="5" t="s">
        <v>13</v>
      </c>
    </row>
    <row r="12" customFormat="false" ht="15" hidden="false" customHeight="false" outlineLevel="0" collapsed="false">
      <c r="A12" s="3" t="s">
        <v>14</v>
      </c>
      <c r="B12" s="5" t="s">
        <v>15</v>
      </c>
    </row>
    <row r="13" customFormat="false" ht="15" hidden="false" customHeight="false" outlineLevel="0" collapsed="false">
      <c r="A13" s="3" t="s">
        <v>16</v>
      </c>
      <c r="B13" s="5" t="s">
        <v>17</v>
      </c>
    </row>
    <row r="14" customFormat="false" ht="15" hidden="false" customHeight="false" outlineLevel="0" collapsed="false">
      <c r="A14" s="3" t="s">
        <v>18</v>
      </c>
      <c r="B14" s="5" t="s">
        <v>19</v>
      </c>
    </row>
    <row r="15" customFormat="false" ht="15" hidden="false" customHeight="false" outlineLevel="0" collapsed="false">
      <c r="A15" s="3" t="s">
        <v>20</v>
      </c>
      <c r="B15" s="5" t="s">
        <v>21</v>
      </c>
    </row>
    <row r="16" customFormat="false" ht="15" hidden="false" customHeight="false" outlineLevel="0" collapsed="false">
      <c r="A16" s="3" t="s">
        <v>22</v>
      </c>
      <c r="B16" s="5" t="s">
        <v>23</v>
      </c>
    </row>
    <row r="17" customFormat="false" ht="15" hidden="false" customHeight="false" outlineLevel="0" collapsed="false">
      <c r="A17" s="3" t="s">
        <v>24</v>
      </c>
      <c r="B17" s="5" t="s">
        <v>25</v>
      </c>
    </row>
    <row r="18" customFormat="false" ht="15" hidden="false" customHeight="false" outlineLevel="0" collapsed="false">
      <c r="A18" s="3" t="s">
        <v>26</v>
      </c>
      <c r="B18" s="5" t="s">
        <v>27</v>
      </c>
    </row>
    <row r="19" customFormat="false" ht="15" hidden="false" customHeight="false" outlineLevel="0" collapsed="false">
      <c r="A19" s="3" t="s">
        <v>28</v>
      </c>
      <c r="B19" s="5" t="s">
        <v>29</v>
      </c>
    </row>
    <row r="20" customFormat="false" ht="15" hidden="false" customHeight="false" outlineLevel="0" collapsed="false">
      <c r="A20" s="3" t="s">
        <v>30</v>
      </c>
    </row>
    <row r="21" customFormat="false" ht="15" hidden="false" customHeight="false" outlineLevel="0" collapsed="false">
      <c r="A21" s="3" t="s">
        <v>31</v>
      </c>
      <c r="B21" s="5" t="s">
        <v>32</v>
      </c>
    </row>
    <row r="22" customFormat="false" ht="15" hidden="false" customHeight="false" outlineLevel="0" collapsed="false">
      <c r="A22" s="3" t="s">
        <v>33</v>
      </c>
      <c r="B22" s="5" t="s">
        <v>34</v>
      </c>
    </row>
    <row r="23" customFormat="false" ht="15" hidden="false" customHeight="false" outlineLevel="0" collapsed="false">
      <c r="A23" s="3" t="s">
        <v>35</v>
      </c>
      <c r="B23" s="5" t="s">
        <v>36</v>
      </c>
    </row>
    <row r="24" customFormat="false" ht="15" hidden="false" customHeight="false" outlineLevel="0" collapsed="false">
      <c r="A24" s="3" t="s">
        <v>37</v>
      </c>
      <c r="B24" s="5" t="s">
        <v>38</v>
      </c>
    </row>
    <row r="25" customFormat="false" ht="15" hidden="false" customHeight="false" outlineLevel="0" collapsed="false">
      <c r="A25" s="3" t="s">
        <v>39</v>
      </c>
    </row>
    <row r="26" customFormat="false" ht="23.85" hidden="false" customHeight="false" outlineLevel="0" collapsed="false">
      <c r="A26" s="3" t="s">
        <v>40</v>
      </c>
      <c r="B26" s="5" t="s">
        <v>41</v>
      </c>
    </row>
    <row r="27" customFormat="false" ht="15" hidden="false" customHeight="false" outlineLevel="0" collapsed="false">
      <c r="A27" s="3" t="s">
        <v>42</v>
      </c>
    </row>
    <row r="28" customFormat="false" ht="23.85" hidden="false" customHeight="false" outlineLevel="0" collapsed="false">
      <c r="A28" s="4"/>
      <c r="B28" s="5" t="s">
        <v>43</v>
      </c>
    </row>
    <row r="30" customFormat="false" ht="15" hidden="false" customHeight="false" outlineLevel="0" collapsed="false">
      <c r="A30" s="3" t="s">
        <v>44</v>
      </c>
    </row>
    <row r="31" customFormat="false" ht="15" hidden="false" customHeight="false" outlineLevel="0" collapsed="false">
      <c r="A31" s="6" t="s">
        <v>45</v>
      </c>
      <c r="B31" s="4" t="s">
        <v>46</v>
      </c>
    </row>
    <row r="32" customFormat="false" ht="15" hidden="false" customHeight="false" outlineLevel="0" collapsed="false">
      <c r="A32" s="4" t="s">
        <v>47</v>
      </c>
      <c r="B32" s="4"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8" min="2" style="0" width="14"/>
    <col collapsed="false" customWidth="true" hidden="false" outlineLevel="0" max="9" min="9" style="0" width="18"/>
    <col collapsed="false" customWidth="true" hidden="false" outlineLevel="0" max="10" min="10" style="0" width="14"/>
  </cols>
  <sheetData>
    <row r="1" customFormat="false" ht="17.35" hidden="false" customHeight="false" outlineLevel="0" collapsed="false">
      <c r="A1" s="1" t="s">
        <v>49</v>
      </c>
    </row>
    <row r="2" customFormat="false" ht="15" hidden="false" customHeight="false" outlineLevel="0" collapsed="false">
      <c r="A2" s="2" t="s">
        <v>50</v>
      </c>
    </row>
    <row r="3" customFormat="false" ht="15" hidden="false" customHeight="false" outlineLevel="0" collapsed="false">
      <c r="A3" s="3" t="str">
        <f aca="false">IF(COUNTIF(Tracker!$N$5:$N$304,"Check numbers")=0,"Data check: all rows OK",COUNTIF(Tracker!$N$5:$N$304,"Check numbers")&amp;" row(s) on Tracker need checking")</f>
        <v>Data check: all rows OK</v>
      </c>
    </row>
    <row r="5" customFormat="false" ht="15" hidden="false" customHeight="false" outlineLevel="0" collapsed="false">
      <c r="A5" s="3" t="s">
        <v>51</v>
      </c>
    </row>
    <row r="6" customFormat="false" ht="31.5" hidden="false" customHeight="true" outlineLevel="0" collapsed="false">
      <c r="A6" s="7" t="s">
        <v>52</v>
      </c>
      <c r="B6" s="7" t="s">
        <v>53</v>
      </c>
      <c r="C6" s="7" t="s">
        <v>12</v>
      </c>
      <c r="D6" s="7" t="s">
        <v>14</v>
      </c>
      <c r="E6" s="7" t="s">
        <v>16</v>
      </c>
      <c r="F6" s="7" t="s">
        <v>54</v>
      </c>
      <c r="G6" s="7" t="s">
        <v>22</v>
      </c>
      <c r="H6" s="7" t="s">
        <v>24</v>
      </c>
      <c r="I6" s="7" t="s">
        <v>55</v>
      </c>
      <c r="J6" s="7" t="s">
        <v>56</v>
      </c>
    </row>
    <row r="7" customFormat="false" ht="15" hidden="false" customHeight="false" outlineLevel="0" collapsed="false">
      <c r="A7" s="8" t="str">
        <f aca="false">IF(Settings!$E$5="","",Settings!$E$5)</f>
        <v>Meesho</v>
      </c>
      <c r="B7" s="9" t="n">
        <f aca="false">IF($A7="","",COUNTIFS(Tracker!$B$5:$B$304,$A7,Tracker!$C$5:$C$304,"&lt;&gt;"))</f>
        <v>12</v>
      </c>
      <c r="C7" s="9" t="n">
        <f aca="false">IF($A7="","",SUMIFS(Tracker!$E$5:$E$304,Tracker!$B$5:$B$304,$A7))</f>
        <v>35096</v>
      </c>
      <c r="D7" s="9" t="n">
        <f aca="false">IF($A7="","",SUMIFS(Tracker!$F$5:$F$304,Tracker!$B$5:$B$304,$A7))</f>
        <v>539</v>
      </c>
      <c r="E7" s="9" t="n">
        <f aca="false">IF($A7="","",SUMIFS(Tracker!$G$5:$G$304,Tracker!$B$5:$B$304,$A7))</f>
        <v>17</v>
      </c>
      <c r="F7" s="10" t="n">
        <f aca="false">IF($A7="","",SUMIFS(Tracker!$I$5:$I$304,Tracker!$B$5:$B$304,$A7))</f>
        <v>1145</v>
      </c>
      <c r="G7" s="11" t="n">
        <f aca="false">IF($A7="","",IF(C7&gt;0,D7/C7,0))</f>
        <v>0.0153578755413722</v>
      </c>
      <c r="H7" s="11" t="n">
        <f aca="false">IF($A7="","",IF(D7&gt;0,E7/D7,0))</f>
        <v>0.0315398886827458</v>
      </c>
      <c r="I7" s="12" t="n">
        <f aca="false">IF($A7="","",IF(D7&gt;0,F7/D7,0))</f>
        <v>2.12430426716141</v>
      </c>
      <c r="J7" s="11" t="n">
        <f aca="false">IF($A7="","",IF($F$11&gt;0,F7/$F$11,0))</f>
        <v>0.349404943545926</v>
      </c>
    </row>
    <row r="8" customFormat="false" ht="15" hidden="false" customHeight="false" outlineLevel="0" collapsed="false">
      <c r="A8" s="8" t="str">
        <f aca="false">IF(Settings!$E$6="","",Settings!$E$6)</f>
        <v>EarnKaro</v>
      </c>
      <c r="B8" s="9" t="n">
        <f aca="false">IF($A8="","",COUNTIFS(Tracker!$B$5:$B$304,$A8,Tracker!$C$5:$C$304,"&lt;&gt;"))</f>
        <v>12</v>
      </c>
      <c r="C8" s="9" t="n">
        <f aca="false">IF($A8="","",SUMIFS(Tracker!$E$5:$E$304,Tracker!$B$5:$B$304,$A8))</f>
        <v>30120</v>
      </c>
      <c r="D8" s="9" t="n">
        <f aca="false">IF($A8="","",SUMIFS(Tracker!$F$5:$F$304,Tracker!$B$5:$B$304,$A8))</f>
        <v>489</v>
      </c>
      <c r="E8" s="9" t="n">
        <f aca="false">IF($A8="","",SUMIFS(Tracker!$G$5:$G$304,Tracker!$B$5:$B$304,$A8))</f>
        <v>18</v>
      </c>
      <c r="F8" s="10" t="n">
        <f aca="false">IF($A8="","",SUMIFS(Tracker!$I$5:$I$304,Tracker!$B$5:$B$304,$A8))</f>
        <v>1023</v>
      </c>
      <c r="G8" s="11" t="n">
        <f aca="false">IF($A8="","",IF(C8&gt;0,D8/C8,0))</f>
        <v>0.0162350597609562</v>
      </c>
      <c r="H8" s="11" t="n">
        <f aca="false">IF($A8="","",IF(D8&gt;0,E8/D8,0))</f>
        <v>0.0368098159509203</v>
      </c>
      <c r="I8" s="12" t="n">
        <f aca="false">IF($A8="","",IF(D8&gt;0,F8/D8,0))</f>
        <v>2.0920245398773</v>
      </c>
      <c r="J8" s="11" t="n">
        <f aca="false">IF($A8="","",IF($F$11&gt;0,F8/$F$11,0))</f>
        <v>0.312175770521819</v>
      </c>
    </row>
    <row r="9" customFormat="false" ht="15" hidden="false" customHeight="false" outlineLevel="0" collapsed="false">
      <c r="A9" s="8" t="str">
        <f aca="false">IF(Settings!$E$7="","",Settings!$E$7)</f>
        <v>Flipkart</v>
      </c>
      <c r="B9" s="9" t="n">
        <f aca="false">IF($A9="","",COUNTIFS(Tracker!$B$5:$B$304,$A9,Tracker!$C$5:$C$304,"&lt;&gt;"))</f>
        <v>6</v>
      </c>
      <c r="C9" s="9" t="n">
        <f aca="false">IF($A9="","",SUMIFS(Tracker!$E$5:$E$304,Tracker!$B$5:$B$304,$A9))</f>
        <v>13765</v>
      </c>
      <c r="D9" s="9" t="n">
        <f aca="false">IF($A9="","",SUMIFS(Tracker!$F$5:$F$304,Tracker!$B$5:$B$304,$A9))</f>
        <v>329</v>
      </c>
      <c r="E9" s="9" t="n">
        <f aca="false">IF($A9="","",SUMIFS(Tracker!$G$5:$G$304,Tracker!$B$5:$B$304,$A9))</f>
        <v>14</v>
      </c>
      <c r="F9" s="10" t="n">
        <f aca="false">IF($A9="","",SUMIFS(Tracker!$I$5:$I$304,Tracker!$B$5:$B$304,$A9))</f>
        <v>1109</v>
      </c>
      <c r="G9" s="11" t="n">
        <f aca="false">IF($A9="","",IF(C9&gt;0,D9/C9,0))</f>
        <v>0.0239011986923356</v>
      </c>
      <c r="H9" s="11" t="n">
        <f aca="false">IF($A9="","",IF(D9&gt;0,E9/D9,0))</f>
        <v>0.0425531914893617</v>
      </c>
      <c r="I9" s="12" t="n">
        <f aca="false">IF($A9="","",IF(D9&gt;0,F9/D9,0))</f>
        <v>3.37082066869301</v>
      </c>
      <c r="J9" s="11" t="n">
        <f aca="false">IF($A9="","",IF($F$11&gt;0,F9/$F$11,0))</f>
        <v>0.338419285932255</v>
      </c>
    </row>
    <row r="10" customFormat="false" ht="15" hidden="false" customHeight="false" outlineLevel="0" collapsed="false">
      <c r="A10" s="8" t="s">
        <v>57</v>
      </c>
      <c r="B10" s="9" t="n">
        <f aca="false">B11-SUM(B7:B9)</f>
        <v>0</v>
      </c>
      <c r="C10" s="9" t="n">
        <f aca="false">C11-SUM(C7:C9)</f>
        <v>0</v>
      </c>
      <c r="D10" s="9" t="n">
        <f aca="false">D11-SUM(D7:D9)</f>
        <v>0</v>
      </c>
      <c r="E10" s="9" t="n">
        <f aca="false">E11-SUM(E7:E9)</f>
        <v>0</v>
      </c>
      <c r="F10" s="10" t="n">
        <f aca="false">F11-SUM(F7:F9)</f>
        <v>0</v>
      </c>
      <c r="G10" s="11" t="n">
        <f aca="false">IF(FALSE(),"",IF(C10&gt;0,D10/C10,0))</f>
        <v>0</v>
      </c>
      <c r="H10" s="11" t="n">
        <f aca="false">IF(FALSE(),"",IF(D10&gt;0,E10/D10,0))</f>
        <v>0</v>
      </c>
      <c r="I10" s="12" t="n">
        <f aca="false">IF(FALSE(),"",IF(D10&gt;0,F10/D10,0))</f>
        <v>0</v>
      </c>
      <c r="J10" s="11" t="n">
        <f aca="false">IF(FALSE(),"",IF($F$11&gt;0,F10/$F$11,0))</f>
        <v>0</v>
      </c>
    </row>
    <row r="11" customFormat="false" ht="15" hidden="false" customHeight="false" outlineLevel="0" collapsed="false">
      <c r="A11" s="13" t="s">
        <v>58</v>
      </c>
      <c r="B11" s="14" t="n">
        <f aca="false">COUNTIF(Tracker!$C$5:$C$304,"&lt;&gt;")</f>
        <v>30</v>
      </c>
      <c r="C11" s="14" t="n">
        <f aca="false">SUM(Tracker!$E$5:$E$304)</f>
        <v>78981</v>
      </c>
      <c r="D11" s="14" t="n">
        <f aca="false">SUM(Tracker!$F$5:$F$304)</f>
        <v>1357</v>
      </c>
      <c r="E11" s="14" t="n">
        <f aca="false">SUM(Tracker!$G$5:$G$304)</f>
        <v>49</v>
      </c>
      <c r="F11" s="15" t="n">
        <f aca="false">SUM(Tracker!$I$5:$I$304)</f>
        <v>3277</v>
      </c>
      <c r="G11" s="16" t="n">
        <f aca="false">IF(FALSE(),"",IF(C11&gt;0,D11/C11,0))</f>
        <v>0.0171813474126689</v>
      </c>
      <c r="H11" s="16" t="n">
        <f aca="false">IF(FALSE(),"",IF(D11&gt;0,E11/D11,0))</f>
        <v>0.0361090641120118</v>
      </c>
      <c r="I11" s="17" t="n">
        <f aca="false">IF(FALSE(),"",IF(D11&gt;0,F11/D11,0))</f>
        <v>2.41488577745026</v>
      </c>
      <c r="J11" s="16" t="n">
        <f aca="false">IF(FALSE(),"",IF($F$11&gt;0,F11/$F$11,0))</f>
        <v>1</v>
      </c>
    </row>
    <row r="13" customFormat="false" ht="15" hidden="false" customHeight="false" outlineLevel="0" collapsed="false">
      <c r="A13" s="3" t="s">
        <v>59</v>
      </c>
    </row>
    <row r="14" customFormat="false" ht="31.5" hidden="false" customHeight="true" outlineLevel="0" collapsed="false">
      <c r="A14" s="7" t="s">
        <v>60</v>
      </c>
      <c r="B14" s="7" t="s">
        <v>53</v>
      </c>
      <c r="C14" s="7" t="s">
        <v>12</v>
      </c>
      <c r="D14" s="7" t="s">
        <v>14</v>
      </c>
      <c r="E14" s="7" t="s">
        <v>16</v>
      </c>
      <c r="F14" s="7" t="s">
        <v>54</v>
      </c>
      <c r="G14" s="7" t="s">
        <v>22</v>
      </c>
      <c r="H14" s="7" t="s">
        <v>24</v>
      </c>
      <c r="I14" s="7" t="s">
        <v>55</v>
      </c>
      <c r="J14" s="7" t="s">
        <v>56</v>
      </c>
    </row>
    <row r="15" customFormat="false" ht="15" hidden="false" customHeight="false" outlineLevel="0" collapsed="false">
      <c r="A15" s="8" t="str">
        <f aca="false">IF(Settings!$F$5="","",Settings!$F$5)</f>
        <v>Fashion</v>
      </c>
      <c r="B15" s="9" t="n">
        <f aca="false">IF($A15="","",COUNTIFS(Tracker!$D$5:$D$304,$A15,Tracker!$C$5:$C$304,"&lt;&gt;"))</f>
        <v>10</v>
      </c>
      <c r="C15" s="9" t="n">
        <f aca="false">IF($A15="","",SUMIFS(Tracker!$E$5:$E$304,Tracker!$D$5:$D$304,$A15))</f>
        <v>25030</v>
      </c>
      <c r="D15" s="9" t="n">
        <f aca="false">IF($A15="","",SUMIFS(Tracker!$F$5:$F$304,Tracker!$D$5:$D$304,$A15))</f>
        <v>438</v>
      </c>
      <c r="E15" s="9" t="n">
        <f aca="false">IF($A15="","",SUMIFS(Tracker!$G$5:$G$304,Tracker!$D$5:$D$304,$A15))</f>
        <v>9</v>
      </c>
      <c r="F15" s="10" t="n">
        <f aca="false">IF($A15="","",SUMIFS(Tracker!$I$5:$I$304,Tracker!$D$5:$D$304,$A15))</f>
        <v>652</v>
      </c>
      <c r="G15" s="11" t="n">
        <f aca="false">IF($A15="","",IF(C15&gt;0,D15/C15,0))</f>
        <v>0.0174990011985617</v>
      </c>
      <c r="H15" s="11" t="n">
        <f aca="false">IF($A15="","",IF(D15&gt;0,E15/D15,0))</f>
        <v>0.0205479452054795</v>
      </c>
      <c r="I15" s="12" t="n">
        <f aca="false">IF($A15="","",IF(D15&gt;0,F15/D15,0))</f>
        <v>1.48858447488584</v>
      </c>
      <c r="J15" s="11" t="n">
        <f aca="false">IF($A15="","",IF($F$24&gt;0,F15/$F$24,0))</f>
        <v>0.19896246566982</v>
      </c>
    </row>
    <row r="16" customFormat="false" ht="15" hidden="false" customHeight="false" outlineLevel="0" collapsed="false">
      <c r="A16" s="8" t="str">
        <f aca="false">IF(Settings!$F$6="","",Settings!$F$6)</f>
        <v>Home &amp; Kitchen</v>
      </c>
      <c r="B16" s="9" t="n">
        <f aca="false">IF($A16="","",COUNTIFS(Tracker!$D$5:$D$304,$A16,Tracker!$C$5:$C$304,"&lt;&gt;"))</f>
        <v>8</v>
      </c>
      <c r="C16" s="9" t="n">
        <f aca="false">IF($A16="","",SUMIFS(Tracker!$E$5:$E$304,Tracker!$D$5:$D$304,$A16))</f>
        <v>19573</v>
      </c>
      <c r="D16" s="9" t="n">
        <f aca="false">IF($A16="","",SUMIFS(Tracker!$F$5:$F$304,Tracker!$D$5:$D$304,$A16))</f>
        <v>392</v>
      </c>
      <c r="E16" s="9" t="n">
        <f aca="false">IF($A16="","",SUMIFS(Tracker!$G$5:$G$304,Tracker!$D$5:$D$304,$A16))</f>
        <v>22</v>
      </c>
      <c r="F16" s="10" t="n">
        <f aca="false">IF($A16="","",SUMIFS(Tracker!$I$5:$I$304,Tracker!$D$5:$D$304,$A16))</f>
        <v>1398</v>
      </c>
      <c r="G16" s="11" t="n">
        <f aca="false">IF($A16="","",IF(C16&gt;0,D16/C16,0))</f>
        <v>0.0200275890256987</v>
      </c>
      <c r="H16" s="11" t="n">
        <f aca="false">IF($A16="","",IF(D16&gt;0,E16/D16,0))</f>
        <v>0.0561224489795918</v>
      </c>
      <c r="I16" s="12" t="n">
        <f aca="false">IF($A16="","",IF(D16&gt;0,F16/D16,0))</f>
        <v>3.56632653061225</v>
      </c>
      <c r="J16" s="11" t="n">
        <f aca="false">IF($A16="","",IF($F$24&gt;0,F16/$F$24,0))</f>
        <v>0.426609703997559</v>
      </c>
    </row>
    <row r="17" customFormat="false" ht="15" hidden="false" customHeight="false" outlineLevel="0" collapsed="false">
      <c r="A17" s="8" t="str">
        <f aca="false">IF(Settings!$F$7="","",Settings!$F$7)</f>
        <v>Beauty</v>
      </c>
      <c r="B17" s="9" t="n">
        <f aca="false">IF($A17="","",COUNTIFS(Tracker!$D$5:$D$304,$A17,Tracker!$C$5:$C$304,"&lt;&gt;"))</f>
        <v>6</v>
      </c>
      <c r="C17" s="9" t="n">
        <f aca="false">IF($A17="","",SUMIFS(Tracker!$E$5:$E$304,Tracker!$D$5:$D$304,$A17))</f>
        <v>16911</v>
      </c>
      <c r="D17" s="9" t="n">
        <f aca="false">IF($A17="","",SUMIFS(Tracker!$F$5:$F$304,Tracker!$D$5:$D$304,$A17))</f>
        <v>216</v>
      </c>
      <c r="E17" s="9" t="n">
        <f aca="false">IF($A17="","",SUMIFS(Tracker!$G$5:$G$304,Tracker!$D$5:$D$304,$A17))</f>
        <v>5</v>
      </c>
      <c r="F17" s="10" t="n">
        <f aca="false">IF($A17="","",SUMIFS(Tracker!$I$5:$I$304,Tracker!$D$5:$D$304,$A17))</f>
        <v>275</v>
      </c>
      <c r="G17" s="11" t="n">
        <f aca="false">IF($A17="","",IF(C17&gt;0,D17/C17,0))</f>
        <v>0.0127727514635444</v>
      </c>
      <c r="H17" s="11" t="n">
        <f aca="false">IF($A17="","",IF(D17&gt;0,E17/D17,0))</f>
        <v>0.0231481481481481</v>
      </c>
      <c r="I17" s="12" t="n">
        <f aca="false">IF($A17="","",IF(D17&gt;0,F17/D17,0))</f>
        <v>1.27314814814815</v>
      </c>
      <c r="J17" s="11" t="n">
        <f aca="false">IF($A17="","",IF($F$24&gt;0,F17/$F$24,0))</f>
        <v>0.0839182178822093</v>
      </c>
    </row>
    <row r="18" customFormat="false" ht="15" hidden="false" customHeight="false" outlineLevel="0" collapsed="false">
      <c r="A18" s="8" t="str">
        <f aca="false">IF(Settings!$F$8="","",Settings!$F$8)</f>
        <v>Gadgets</v>
      </c>
      <c r="B18" s="9" t="n">
        <f aca="false">IF($A18="","",COUNTIFS(Tracker!$D$5:$D$304,$A18,Tracker!$C$5:$C$304,"&lt;&gt;"))</f>
        <v>6</v>
      </c>
      <c r="C18" s="9" t="n">
        <f aca="false">IF($A18="","",SUMIFS(Tracker!$E$5:$E$304,Tracker!$D$5:$D$304,$A18))</f>
        <v>17467</v>
      </c>
      <c r="D18" s="9" t="n">
        <f aca="false">IF($A18="","",SUMIFS(Tracker!$F$5:$F$304,Tracker!$D$5:$D$304,$A18))</f>
        <v>311</v>
      </c>
      <c r="E18" s="9" t="n">
        <f aca="false">IF($A18="","",SUMIFS(Tracker!$G$5:$G$304,Tracker!$D$5:$D$304,$A18))</f>
        <v>13</v>
      </c>
      <c r="F18" s="10" t="n">
        <f aca="false">IF($A18="","",SUMIFS(Tracker!$I$5:$I$304,Tracker!$D$5:$D$304,$A18))</f>
        <v>952</v>
      </c>
      <c r="G18" s="11" t="n">
        <f aca="false">IF($A18="","",IF(C18&gt;0,D18/C18,0))</f>
        <v>0.017805003721303</v>
      </c>
      <c r="H18" s="11" t="n">
        <f aca="false">IF($A18="","",IF(D18&gt;0,E18/D18,0))</f>
        <v>0.0418006430868167</v>
      </c>
      <c r="I18" s="12" t="n">
        <f aca="false">IF($A18="","",IF(D18&gt;0,F18/D18,0))</f>
        <v>3.06109324758842</v>
      </c>
      <c r="J18" s="11" t="n">
        <f aca="false">IF($A18="","",IF($F$24&gt;0,F18/$F$24,0))</f>
        <v>0.290509612450412</v>
      </c>
    </row>
    <row r="19" customFormat="false" ht="15" hidden="false" customHeight="false" outlineLevel="0" collapsed="false">
      <c r="A19" s="8" t="str">
        <f aca="false">IF(Settings!$F$9="","",Settings!$F$9)</f>
        <v/>
      </c>
      <c r="B19" s="9" t="str">
        <f aca="false">IF($A19="","",COUNTIFS(Tracker!$D$5:$D$304,$A19,Tracker!$C$5:$C$304,"&lt;&gt;"))</f>
        <v/>
      </c>
      <c r="C19" s="9" t="str">
        <f aca="false">IF($A19="","",SUMIFS(Tracker!$E$5:$E$304,Tracker!$D$5:$D$304,$A19))</f>
        <v/>
      </c>
      <c r="D19" s="9" t="str">
        <f aca="false">IF($A19="","",SUMIFS(Tracker!$F$5:$F$304,Tracker!$D$5:$D$304,$A19))</f>
        <v/>
      </c>
      <c r="E19" s="9" t="str">
        <f aca="false">IF($A19="","",SUMIFS(Tracker!$G$5:$G$304,Tracker!$D$5:$D$304,$A19))</f>
        <v/>
      </c>
      <c r="F19" s="10" t="str">
        <f aca="false">IF($A19="","",SUMIFS(Tracker!$I$5:$I$304,Tracker!$D$5:$D$304,$A19))</f>
        <v/>
      </c>
      <c r="G19" s="11" t="str">
        <f aca="false">IF($A19="","",IF(C19&gt;0,D19/C19,0))</f>
        <v/>
      </c>
      <c r="H19" s="11" t="str">
        <f aca="false">IF($A19="","",IF(D19&gt;0,E19/D19,0))</f>
        <v/>
      </c>
      <c r="I19" s="12" t="str">
        <f aca="false">IF($A19="","",IF(D19&gt;0,F19/D19,0))</f>
        <v/>
      </c>
      <c r="J19" s="11" t="str">
        <f aca="false">IF($A19="","",IF($F$24&gt;0,F19/$F$24,0))</f>
        <v/>
      </c>
    </row>
    <row r="20" customFormat="false" ht="15" hidden="false" customHeight="false" outlineLevel="0" collapsed="false">
      <c r="A20" s="8" t="str">
        <f aca="false">IF(Settings!$F$10="","",Settings!$F$10)</f>
        <v/>
      </c>
      <c r="B20" s="9" t="str">
        <f aca="false">IF($A20="","",COUNTIFS(Tracker!$D$5:$D$304,$A20,Tracker!$C$5:$C$304,"&lt;&gt;"))</f>
        <v/>
      </c>
      <c r="C20" s="9" t="str">
        <f aca="false">IF($A20="","",SUMIFS(Tracker!$E$5:$E$304,Tracker!$D$5:$D$304,$A20))</f>
        <v/>
      </c>
      <c r="D20" s="9" t="str">
        <f aca="false">IF($A20="","",SUMIFS(Tracker!$F$5:$F$304,Tracker!$D$5:$D$304,$A20))</f>
        <v/>
      </c>
      <c r="E20" s="9" t="str">
        <f aca="false">IF($A20="","",SUMIFS(Tracker!$G$5:$G$304,Tracker!$D$5:$D$304,$A20))</f>
        <v/>
      </c>
      <c r="F20" s="10" t="str">
        <f aca="false">IF($A20="","",SUMIFS(Tracker!$I$5:$I$304,Tracker!$D$5:$D$304,$A20))</f>
        <v/>
      </c>
      <c r="G20" s="11" t="str">
        <f aca="false">IF($A20="","",IF(C20&gt;0,D20/C20,0))</f>
        <v/>
      </c>
      <c r="H20" s="11" t="str">
        <f aca="false">IF($A20="","",IF(D20&gt;0,E20/D20,0))</f>
        <v/>
      </c>
      <c r="I20" s="12" t="str">
        <f aca="false">IF($A20="","",IF(D20&gt;0,F20/D20,0))</f>
        <v/>
      </c>
      <c r="J20" s="11" t="str">
        <f aca="false">IF($A20="","",IF($F$24&gt;0,F20/$F$24,0))</f>
        <v/>
      </c>
    </row>
    <row r="21" customFormat="false" ht="15" hidden="false" customHeight="false" outlineLevel="0" collapsed="false">
      <c r="A21" s="8" t="str">
        <f aca="false">IF(Settings!$F$11="","",Settings!$F$11)</f>
        <v/>
      </c>
      <c r="B21" s="9" t="str">
        <f aca="false">IF($A21="","",COUNTIFS(Tracker!$D$5:$D$304,$A21,Tracker!$C$5:$C$304,"&lt;&gt;"))</f>
        <v/>
      </c>
      <c r="C21" s="9" t="str">
        <f aca="false">IF($A21="","",SUMIFS(Tracker!$E$5:$E$304,Tracker!$D$5:$D$304,$A21))</f>
        <v/>
      </c>
      <c r="D21" s="9" t="str">
        <f aca="false">IF($A21="","",SUMIFS(Tracker!$F$5:$F$304,Tracker!$D$5:$D$304,$A21))</f>
        <v/>
      </c>
      <c r="E21" s="9" t="str">
        <f aca="false">IF($A21="","",SUMIFS(Tracker!$G$5:$G$304,Tracker!$D$5:$D$304,$A21))</f>
        <v/>
      </c>
      <c r="F21" s="10" t="str">
        <f aca="false">IF($A21="","",SUMIFS(Tracker!$I$5:$I$304,Tracker!$D$5:$D$304,$A21))</f>
        <v/>
      </c>
      <c r="G21" s="11" t="str">
        <f aca="false">IF($A21="","",IF(C21&gt;0,D21/C21,0))</f>
        <v/>
      </c>
      <c r="H21" s="11" t="str">
        <f aca="false">IF($A21="","",IF(D21&gt;0,E21/D21,0))</f>
        <v/>
      </c>
      <c r="I21" s="12" t="str">
        <f aca="false">IF($A21="","",IF(D21&gt;0,F21/D21,0))</f>
        <v/>
      </c>
      <c r="J21" s="11" t="str">
        <f aca="false">IF($A21="","",IF($F$24&gt;0,F21/$F$24,0))</f>
        <v/>
      </c>
    </row>
    <row r="22" customFormat="false" ht="15" hidden="false" customHeight="false" outlineLevel="0" collapsed="false">
      <c r="A22" s="8" t="str">
        <f aca="false">IF(Settings!$F$12="","",Settings!$F$12)</f>
        <v/>
      </c>
      <c r="B22" s="9" t="str">
        <f aca="false">IF($A22="","",COUNTIFS(Tracker!$D$5:$D$304,$A22,Tracker!$C$5:$C$304,"&lt;&gt;"))</f>
        <v/>
      </c>
      <c r="C22" s="9" t="str">
        <f aca="false">IF($A22="","",SUMIFS(Tracker!$E$5:$E$304,Tracker!$D$5:$D$304,$A22))</f>
        <v/>
      </c>
      <c r="D22" s="9" t="str">
        <f aca="false">IF($A22="","",SUMIFS(Tracker!$F$5:$F$304,Tracker!$D$5:$D$304,$A22))</f>
        <v/>
      </c>
      <c r="E22" s="9" t="str">
        <f aca="false">IF($A22="","",SUMIFS(Tracker!$G$5:$G$304,Tracker!$D$5:$D$304,$A22))</f>
        <v/>
      </c>
      <c r="F22" s="10" t="str">
        <f aca="false">IF($A22="","",SUMIFS(Tracker!$I$5:$I$304,Tracker!$D$5:$D$304,$A22))</f>
        <v/>
      </c>
      <c r="G22" s="11" t="str">
        <f aca="false">IF($A22="","",IF(C22&gt;0,D22/C22,0))</f>
        <v/>
      </c>
      <c r="H22" s="11" t="str">
        <f aca="false">IF($A22="","",IF(D22&gt;0,E22/D22,0))</f>
        <v/>
      </c>
      <c r="I22" s="12" t="str">
        <f aca="false">IF($A22="","",IF(D22&gt;0,F22/D22,0))</f>
        <v/>
      </c>
      <c r="J22" s="11" t="str">
        <f aca="false">IF($A22="","",IF($F$24&gt;0,F22/$F$24,0))</f>
        <v/>
      </c>
    </row>
    <row r="23" customFormat="false" ht="15" hidden="false" customHeight="false" outlineLevel="0" collapsed="false">
      <c r="A23" s="8" t="s">
        <v>57</v>
      </c>
      <c r="B23" s="9" t="n">
        <f aca="false">B24-SUM(B15:B22)</f>
        <v>0</v>
      </c>
      <c r="C23" s="9" t="n">
        <f aca="false">C24-SUM(C15:C22)</f>
        <v>0</v>
      </c>
      <c r="D23" s="9" t="n">
        <f aca="false">D24-SUM(D15:D22)</f>
        <v>0</v>
      </c>
      <c r="E23" s="9" t="n">
        <f aca="false">E24-SUM(E15:E22)</f>
        <v>0</v>
      </c>
      <c r="F23" s="10" t="n">
        <f aca="false">F24-SUM(F15:F22)</f>
        <v>0</v>
      </c>
      <c r="G23" s="11" t="n">
        <f aca="false">IF(FALSE(),"",IF(C23&gt;0,D23/C23,0))</f>
        <v>0</v>
      </c>
      <c r="H23" s="11" t="n">
        <f aca="false">IF(FALSE(),"",IF(D23&gt;0,E23/D23,0))</f>
        <v>0</v>
      </c>
      <c r="I23" s="12" t="n">
        <f aca="false">IF(FALSE(),"",IF(D23&gt;0,F23/D23,0))</f>
        <v>0</v>
      </c>
      <c r="J23" s="11" t="n">
        <f aca="false">IF(FALSE(),"",IF($F$24&gt;0,F23/$F$24,0))</f>
        <v>0</v>
      </c>
    </row>
    <row r="24" customFormat="false" ht="15" hidden="false" customHeight="false" outlineLevel="0" collapsed="false">
      <c r="A24" s="13" t="s">
        <v>58</v>
      </c>
      <c r="B24" s="14" t="n">
        <f aca="false">COUNTIF(Tracker!$C$5:$C$304,"&lt;&gt;")</f>
        <v>30</v>
      </c>
      <c r="C24" s="14" t="n">
        <f aca="false">SUM(Tracker!$E$5:$E$304)</f>
        <v>78981</v>
      </c>
      <c r="D24" s="14" t="n">
        <f aca="false">SUM(Tracker!$F$5:$F$304)</f>
        <v>1357</v>
      </c>
      <c r="E24" s="14" t="n">
        <f aca="false">SUM(Tracker!$G$5:$G$304)</f>
        <v>49</v>
      </c>
      <c r="F24" s="15" t="n">
        <f aca="false">SUM(Tracker!$I$5:$I$304)</f>
        <v>3277</v>
      </c>
      <c r="G24" s="16" t="n">
        <f aca="false">IF(FALSE(),"",IF(C24&gt;0,D24/C24,0))</f>
        <v>0.0171813474126689</v>
      </c>
      <c r="H24" s="16" t="n">
        <f aca="false">IF(FALSE(),"",IF(D24&gt;0,E24/D24,0))</f>
        <v>0.0361090641120118</v>
      </c>
      <c r="I24" s="17" t="n">
        <f aca="false">IF(FALSE(),"",IF(D24&gt;0,F24/D24,0))</f>
        <v>2.41488577745026</v>
      </c>
      <c r="J24" s="16" t="n">
        <f aca="false">IF(FALSE(),"",IF($F$24&gt;0,F24/$F$24,0))</f>
        <v>1</v>
      </c>
    </row>
    <row r="26" customFormat="false" ht="15" hidden="false" customHeight="false" outlineLevel="0" collapsed="false">
      <c r="A26" s="3" t="s">
        <v>61</v>
      </c>
    </row>
    <row r="27" customFormat="false" ht="15" hidden="false" customHeight="false" outlineLevel="0" collapsed="false">
      <c r="A27" s="18" t="s">
        <v>62</v>
      </c>
      <c r="B27" s="18" t="s">
        <v>63</v>
      </c>
    </row>
    <row r="28" customFormat="false" ht="15" hidden="false" customHeight="false" outlineLevel="0" collapsed="false">
      <c r="A28" s="8" t="s">
        <v>33</v>
      </c>
      <c r="B28" s="8" t="n">
        <f aca="false">COUNTIF(Tracker!$M$5:$M$304,A28)</f>
        <v>10</v>
      </c>
    </row>
    <row r="29" customFormat="false" ht="15" hidden="false" customHeight="false" outlineLevel="0" collapsed="false">
      <c r="A29" s="8" t="s">
        <v>37</v>
      </c>
      <c r="B29" s="8" t="n">
        <f aca="false">COUNTIF(Tracker!$M$5:$M$304,A29)</f>
        <v>3</v>
      </c>
    </row>
    <row r="30" customFormat="false" ht="15" hidden="false" customHeight="false" outlineLevel="0" collapsed="false">
      <c r="A30" s="8" t="s">
        <v>35</v>
      </c>
      <c r="B30" s="8" t="n">
        <f aca="false">COUNTIF(Tracker!$M$5:$M$304,A30)</f>
        <v>6</v>
      </c>
    </row>
    <row r="31" customFormat="false" ht="15" hidden="false" customHeight="false" outlineLevel="0" collapsed="false">
      <c r="A31" s="8" t="s">
        <v>31</v>
      </c>
      <c r="B31" s="8" t="n">
        <f aca="false">COUNTIF(Tracker!$M$5:$M$304,A31)</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56"/>
    <col collapsed="false" customWidth="true" hidden="false" outlineLevel="0" max="4" min="4" style="0" width="3"/>
    <col collapsed="false" customWidth="true" hidden="false" outlineLevel="0" max="6" min="5" style="0" width="20"/>
  </cols>
  <sheetData>
    <row r="1" customFormat="false" ht="17.35" hidden="false" customHeight="false" outlineLevel="0" collapsed="false">
      <c r="A1" s="1" t="s">
        <v>64</v>
      </c>
    </row>
    <row r="2" customFormat="false" ht="15" hidden="false" customHeight="false" outlineLevel="0" collapsed="false">
      <c r="A2" s="2" t="s">
        <v>65</v>
      </c>
    </row>
    <row r="4" customFormat="false" ht="15" hidden="false" customHeight="false" outlineLevel="0" collapsed="false">
      <c r="A4" s="19" t="s">
        <v>66</v>
      </c>
      <c r="B4" s="19" t="s">
        <v>67</v>
      </c>
      <c r="C4" s="19" t="s">
        <v>68</v>
      </c>
      <c r="E4" s="19" t="s">
        <v>69</v>
      </c>
      <c r="F4" s="19" t="s">
        <v>70</v>
      </c>
    </row>
    <row r="5" customFormat="false" ht="15" hidden="false" customHeight="false" outlineLevel="0" collapsed="false">
      <c r="A5" s="4" t="s">
        <v>71</v>
      </c>
      <c r="B5" s="20" t="n">
        <v>30</v>
      </c>
      <c r="C5" s="2" t="s">
        <v>72</v>
      </c>
      <c r="E5" s="21" t="s">
        <v>73</v>
      </c>
      <c r="F5" s="21" t="s">
        <v>74</v>
      </c>
    </row>
    <row r="6" customFormat="false" ht="15" hidden="false" customHeight="false" outlineLevel="0" collapsed="false">
      <c r="A6" s="4" t="s">
        <v>75</v>
      </c>
      <c r="B6" s="22" t="n">
        <v>0.04</v>
      </c>
      <c r="C6" s="2" t="s">
        <v>76</v>
      </c>
      <c r="E6" s="21" t="s">
        <v>77</v>
      </c>
      <c r="F6" s="21" t="s">
        <v>78</v>
      </c>
    </row>
    <row r="7" customFormat="false" ht="15" hidden="false" customHeight="false" outlineLevel="0" collapsed="false">
      <c r="A7" s="4" t="s">
        <v>79</v>
      </c>
      <c r="B7" s="23" t="n">
        <v>1.5</v>
      </c>
      <c r="C7" s="2" t="s">
        <v>76</v>
      </c>
      <c r="E7" s="21" t="s">
        <v>80</v>
      </c>
      <c r="F7" s="21" t="s">
        <v>81</v>
      </c>
    </row>
    <row r="8" customFormat="false" ht="15" hidden="false" customHeight="false" outlineLevel="0" collapsed="false">
      <c r="F8" s="21" t="s">
        <v>82</v>
      </c>
    </row>
    <row r="9" customFormat="false" ht="15" hidden="false" customHeight="false" outlineLevel="0" collapsed="false">
      <c r="F9" s="21"/>
    </row>
    <row r="10" customFormat="false" ht="15" hidden="false" customHeight="false" outlineLevel="0" collapsed="false">
      <c r="F10" s="21"/>
    </row>
    <row r="11" customFormat="false" ht="15" hidden="false" customHeight="false" outlineLevel="0" collapsed="false">
      <c r="F11" s="21"/>
    </row>
    <row r="12" customFormat="false" ht="15" hidden="false" customHeight="false" outlineLevel="0" collapsed="false">
      <c r="F12" s="21"/>
    </row>
    <row r="14" customFormat="false" ht="15" hidden="false" customHeight="false" outlineLevel="0" collapsed="false">
      <c r="E14"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24"/>
    <col collapsed="false" customWidth="true" hidden="false" outlineLevel="0" max="4" min="4" style="0" width="17"/>
    <col collapsed="false" customWidth="true" hidden="false" outlineLevel="0" max="5" min="5" style="0" width="12"/>
    <col collapsed="false" customWidth="true" hidden="false" outlineLevel="0" max="7" min="6" style="0" width="10"/>
    <col collapsed="false" customWidth="true" hidden="false" outlineLevel="0" max="8" min="8" style="0" width="16"/>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6"/>
    <col collapsed="false" customWidth="true" hidden="false" outlineLevel="0" max="14" min="14" style="0" width="14"/>
  </cols>
  <sheetData>
    <row r="1" customFormat="false" ht="17.35" hidden="false" customHeight="false" outlineLevel="0" collapsed="false">
      <c r="A1" s="1" t="s">
        <v>84</v>
      </c>
    </row>
    <row r="2" customFormat="false" ht="15" hidden="false" customHeight="false" outlineLevel="0" collapsed="false">
      <c r="A2" s="24" t="s">
        <v>85</v>
      </c>
    </row>
    <row r="4" customFormat="false" ht="31.5" hidden="false" customHeight="true" outlineLevel="0" collapsed="false">
      <c r="A4" s="7" t="s">
        <v>86</v>
      </c>
      <c r="B4" s="7" t="s">
        <v>52</v>
      </c>
      <c r="C4" s="7" t="s">
        <v>87</v>
      </c>
      <c r="D4" s="7" t="s">
        <v>60</v>
      </c>
      <c r="E4" s="7" t="s">
        <v>12</v>
      </c>
      <c r="F4" s="7" t="s">
        <v>14</v>
      </c>
      <c r="G4" s="7" t="s">
        <v>16</v>
      </c>
      <c r="H4" s="7" t="s">
        <v>88</v>
      </c>
      <c r="I4" s="7" t="s">
        <v>54</v>
      </c>
      <c r="J4" s="7" t="s">
        <v>22</v>
      </c>
      <c r="K4" s="7" t="s">
        <v>24</v>
      </c>
      <c r="L4" s="7" t="s">
        <v>55</v>
      </c>
      <c r="M4" s="7" t="s">
        <v>62</v>
      </c>
      <c r="N4" s="7" t="s">
        <v>28</v>
      </c>
    </row>
    <row r="5" customFormat="false" ht="15" hidden="false" customHeight="false" outlineLevel="0" collapsed="false">
      <c r="A5" s="25" t="n">
        <v>46235</v>
      </c>
      <c r="B5" s="21" t="s">
        <v>73</v>
      </c>
      <c r="C5" s="21" t="s">
        <v>89</v>
      </c>
      <c r="D5" s="21" t="s">
        <v>74</v>
      </c>
      <c r="E5" s="26" t="n">
        <v>1414</v>
      </c>
      <c r="F5" s="26" t="n">
        <v>48</v>
      </c>
      <c r="G5" s="26" t="n">
        <v>2</v>
      </c>
      <c r="H5" s="23" t="n">
        <v>92</v>
      </c>
      <c r="I5" s="10" t="n">
        <f aca="false">IF($C5="","",G5*H5)</f>
        <v>184</v>
      </c>
      <c r="J5" s="11" t="n">
        <f aca="false">IF(AND($C5&lt;&gt;"",E5&gt;0),F5/E5,"")</f>
        <v>0.0339462517680339</v>
      </c>
      <c r="K5" s="11" t="n">
        <f aca="false">IF(AND($C5&lt;&gt;"",F5&gt;0),G5/F5,"")</f>
        <v>0.0416666666666667</v>
      </c>
      <c r="L5" s="12" t="n">
        <f aca="false">IF(AND($C5&lt;&gt;"",F5&gt;0),I5/F5,"")</f>
        <v>3.83333333333333</v>
      </c>
      <c r="M5" s="27" t="str">
        <f aca="false">IF($C5="","",IF(OR(F5=0,F5&lt;Settings!$B$5),"Need more data",IF(AND(K5&gt;=Settings!$B$6,L5&gt;=Settings!$B$7),"Keep",IF(AND(K5&lt;Settings!$B$6,L5&lt;Settings!$B$7),"Drop","Watch"))))</f>
        <v>Keep</v>
      </c>
      <c r="N5" s="27" t="str">
        <f aca="false">IF($C5="","",IF(OR(F5&gt;E5,G5&gt;F5,E5&lt;0,F5&lt;0,G5&lt;0,H5&lt;0),"Check numbers","OK"))</f>
        <v>OK</v>
      </c>
    </row>
    <row r="6" customFormat="false" ht="15" hidden="false" customHeight="false" outlineLevel="0" collapsed="false">
      <c r="A6" s="25" t="n">
        <v>46237</v>
      </c>
      <c r="B6" s="21" t="s">
        <v>77</v>
      </c>
      <c r="C6" s="21" t="s">
        <v>90</v>
      </c>
      <c r="D6" s="21" t="s">
        <v>74</v>
      </c>
      <c r="E6" s="26" t="n">
        <v>906</v>
      </c>
      <c r="F6" s="26" t="n">
        <v>15</v>
      </c>
      <c r="G6" s="26" t="n">
        <v>0</v>
      </c>
      <c r="H6" s="23" t="n">
        <v>46</v>
      </c>
      <c r="I6" s="10" t="n">
        <f aca="false">IF($C6="","",G6*H6)</f>
        <v>0</v>
      </c>
      <c r="J6" s="11" t="n">
        <f aca="false">IF(AND($C6&lt;&gt;"",E6&gt;0),F6/E6,"")</f>
        <v>0.0165562913907285</v>
      </c>
      <c r="K6" s="11" t="n">
        <f aca="false">IF(AND($C6&lt;&gt;"",F6&gt;0),G6/F6,"")</f>
        <v>0</v>
      </c>
      <c r="L6" s="12" t="n">
        <f aca="false">IF(AND($C6&lt;&gt;"",F6&gt;0),I6/F6,"")</f>
        <v>0</v>
      </c>
      <c r="M6" s="27" t="str">
        <f aca="false">IF($C6="","",IF(OR(F6=0,F6&lt;Settings!$B$5),"Need more data",IF(AND(K6&gt;=Settings!$B$6,L6&gt;=Settings!$B$7),"Keep",IF(AND(K6&lt;Settings!$B$6,L6&lt;Settings!$B$7),"Drop","Watch"))))</f>
        <v>Need more data</v>
      </c>
      <c r="N6" s="27" t="str">
        <f aca="false">IF($C6="","",IF(OR(F6&gt;E6,G6&gt;F6,E6&lt;0,F6&lt;0,G6&lt;0,H6&lt;0),"Check numbers","OK"))</f>
        <v>OK</v>
      </c>
    </row>
    <row r="7" customFormat="false" ht="15" hidden="false" customHeight="false" outlineLevel="0" collapsed="false">
      <c r="A7" s="25" t="n">
        <v>46239</v>
      </c>
      <c r="B7" s="21" t="s">
        <v>80</v>
      </c>
      <c r="C7" s="21" t="s">
        <v>91</v>
      </c>
      <c r="D7" s="21" t="s">
        <v>74</v>
      </c>
      <c r="E7" s="26" t="n">
        <v>781</v>
      </c>
      <c r="F7" s="26" t="n">
        <v>27</v>
      </c>
      <c r="G7" s="26" t="n">
        <v>0</v>
      </c>
      <c r="H7" s="23" t="n">
        <v>71</v>
      </c>
      <c r="I7" s="10" t="n">
        <f aca="false">IF($C7="","",G7*H7)</f>
        <v>0</v>
      </c>
      <c r="J7" s="11" t="n">
        <f aca="false">IF(AND($C7&lt;&gt;"",E7&gt;0),F7/E7,"")</f>
        <v>0.0345710627400768</v>
      </c>
      <c r="K7" s="11" t="n">
        <f aca="false">IF(AND($C7&lt;&gt;"",F7&gt;0),G7/F7,"")</f>
        <v>0</v>
      </c>
      <c r="L7" s="12" t="n">
        <f aca="false">IF(AND($C7&lt;&gt;"",F7&gt;0),I7/F7,"")</f>
        <v>0</v>
      </c>
      <c r="M7" s="27" t="str">
        <f aca="false">IF($C7="","",IF(OR(F7=0,F7&lt;Settings!$B$5),"Need more data",IF(AND(K7&gt;=Settings!$B$6,L7&gt;=Settings!$B$7),"Keep",IF(AND(K7&lt;Settings!$B$6,L7&lt;Settings!$B$7),"Drop","Watch"))))</f>
        <v>Need more data</v>
      </c>
      <c r="N7" s="27" t="str">
        <f aca="false">IF($C7="","",IF(OR(F7&gt;E7,G7&gt;F7,E7&lt;0,F7&lt;0,G7&lt;0,H7&lt;0),"Check numbers","OK"))</f>
        <v>OK</v>
      </c>
    </row>
    <row r="8" customFormat="false" ht="15" hidden="false" customHeight="false" outlineLevel="0" collapsed="false">
      <c r="A8" s="25" t="n">
        <v>46241</v>
      </c>
      <c r="B8" s="21" t="s">
        <v>73</v>
      </c>
      <c r="C8" s="21" t="s">
        <v>92</v>
      </c>
      <c r="D8" s="21" t="s">
        <v>74</v>
      </c>
      <c r="E8" s="26" t="n">
        <v>1581</v>
      </c>
      <c r="F8" s="26" t="n">
        <v>22</v>
      </c>
      <c r="G8" s="26" t="n">
        <v>0</v>
      </c>
      <c r="H8" s="23" t="n">
        <v>89</v>
      </c>
      <c r="I8" s="10" t="n">
        <f aca="false">IF($C8="","",G8*H8)</f>
        <v>0</v>
      </c>
      <c r="J8" s="11" t="n">
        <f aca="false">IF(AND($C8&lt;&gt;"",E8&gt;0),F8/E8,"")</f>
        <v>0.0139152435167615</v>
      </c>
      <c r="K8" s="11" t="n">
        <f aca="false">IF(AND($C8&lt;&gt;"",F8&gt;0),G8/F8,"")</f>
        <v>0</v>
      </c>
      <c r="L8" s="12" t="n">
        <f aca="false">IF(AND($C8&lt;&gt;"",F8&gt;0),I8/F8,"")</f>
        <v>0</v>
      </c>
      <c r="M8" s="27" t="str">
        <f aca="false">IF($C8="","",IF(OR(F8=0,F8&lt;Settings!$B$5),"Need more data",IF(AND(K8&gt;=Settings!$B$6,L8&gt;=Settings!$B$7),"Keep",IF(AND(K8&lt;Settings!$B$6,L8&lt;Settings!$B$7),"Drop","Watch"))))</f>
        <v>Need more data</v>
      </c>
      <c r="N8" s="27" t="str">
        <f aca="false">IF($C8="","",IF(OR(F8&gt;E8,G8&gt;F8,E8&lt;0,F8&lt;0,G8&lt;0,H8&lt;0),"Check numbers","OK"))</f>
        <v>OK</v>
      </c>
    </row>
    <row r="9" customFormat="false" ht="15" hidden="false" customHeight="false" outlineLevel="0" collapsed="false">
      <c r="A9" s="25" t="n">
        <v>46243</v>
      </c>
      <c r="B9" s="21" t="s">
        <v>77</v>
      </c>
      <c r="C9" s="21" t="s">
        <v>93</v>
      </c>
      <c r="D9" s="21" t="s">
        <v>78</v>
      </c>
      <c r="E9" s="26" t="n">
        <v>1880</v>
      </c>
      <c r="F9" s="26" t="n">
        <v>26</v>
      </c>
      <c r="G9" s="26" t="n">
        <v>1</v>
      </c>
      <c r="H9" s="23" t="n">
        <v>42</v>
      </c>
      <c r="I9" s="10" t="n">
        <f aca="false">IF($C9="","",G9*H9)</f>
        <v>42</v>
      </c>
      <c r="J9" s="11" t="n">
        <f aca="false">IF(AND($C9&lt;&gt;"",E9&gt;0),F9/E9,"")</f>
        <v>0.0138297872340426</v>
      </c>
      <c r="K9" s="11" t="n">
        <f aca="false">IF(AND($C9&lt;&gt;"",F9&gt;0),G9/F9,"")</f>
        <v>0.0384615384615385</v>
      </c>
      <c r="L9" s="12" t="n">
        <f aca="false">IF(AND($C9&lt;&gt;"",F9&gt;0),I9/F9,"")</f>
        <v>1.61538461538462</v>
      </c>
      <c r="M9" s="27" t="str">
        <f aca="false">IF($C9="","",IF(OR(F9=0,F9&lt;Settings!$B$5),"Need more data",IF(AND(K9&gt;=Settings!$B$6,L9&gt;=Settings!$B$7),"Keep",IF(AND(K9&lt;Settings!$B$6,L9&lt;Settings!$B$7),"Drop","Watch"))))</f>
        <v>Need more data</v>
      </c>
      <c r="N9" s="27" t="str">
        <f aca="false">IF($C9="","",IF(OR(F9&gt;E9,G9&gt;F9,E9&lt;0,F9&lt;0,G9&lt;0,H9&lt;0),"Check numbers","OK"))</f>
        <v>OK</v>
      </c>
    </row>
    <row r="10" customFormat="false" ht="15" hidden="false" customHeight="false" outlineLevel="0" collapsed="false">
      <c r="A10" s="25" t="n">
        <v>46245</v>
      </c>
      <c r="B10" s="21" t="s">
        <v>73</v>
      </c>
      <c r="C10" s="21" t="s">
        <v>94</v>
      </c>
      <c r="D10" s="21" t="s">
        <v>78</v>
      </c>
      <c r="E10" s="26" t="n">
        <v>3450</v>
      </c>
      <c r="F10" s="26" t="n">
        <v>38</v>
      </c>
      <c r="G10" s="26" t="n">
        <v>2</v>
      </c>
      <c r="H10" s="23" t="n">
        <v>90</v>
      </c>
      <c r="I10" s="10" t="n">
        <f aca="false">IF($C10="","",G10*H10)</f>
        <v>180</v>
      </c>
      <c r="J10" s="11" t="n">
        <f aca="false">IF(AND($C10&lt;&gt;"",E10&gt;0),F10/E10,"")</f>
        <v>0.0110144927536232</v>
      </c>
      <c r="K10" s="11" t="n">
        <f aca="false">IF(AND($C10&lt;&gt;"",F10&gt;0),G10/F10,"")</f>
        <v>0.0526315789473684</v>
      </c>
      <c r="L10" s="12" t="n">
        <f aca="false">IF(AND($C10&lt;&gt;"",F10&gt;0),I10/F10,"")</f>
        <v>4.73684210526316</v>
      </c>
      <c r="M10" s="27" t="str">
        <f aca="false">IF($C10="","",IF(OR(F10=0,F10&lt;Settings!$B$5),"Need more data",IF(AND(K10&gt;=Settings!$B$6,L10&gt;=Settings!$B$7),"Keep",IF(AND(K10&lt;Settings!$B$6,L10&lt;Settings!$B$7),"Drop","Watch"))))</f>
        <v>Keep</v>
      </c>
      <c r="N10" s="27" t="str">
        <f aca="false">IF($C10="","",IF(OR(F10&gt;E10,G10&gt;F10,E10&lt;0,F10&lt;0,G10&lt;0,H10&lt;0),"Check numbers","OK"))</f>
        <v>OK</v>
      </c>
    </row>
    <row r="11" customFormat="false" ht="15" hidden="false" customHeight="false" outlineLevel="0" collapsed="false">
      <c r="A11" s="25" t="n">
        <v>46247</v>
      </c>
      <c r="B11" s="21" t="s">
        <v>77</v>
      </c>
      <c r="C11" s="21" t="s">
        <v>95</v>
      </c>
      <c r="D11" s="21" t="s">
        <v>78</v>
      </c>
      <c r="E11" s="26" t="n">
        <v>888</v>
      </c>
      <c r="F11" s="26" t="n">
        <v>13</v>
      </c>
      <c r="G11" s="26" t="n">
        <v>0</v>
      </c>
      <c r="H11" s="23" t="n">
        <v>86</v>
      </c>
      <c r="I11" s="10" t="n">
        <f aca="false">IF($C11="","",G11*H11)</f>
        <v>0</v>
      </c>
      <c r="J11" s="11" t="n">
        <f aca="false">IF(AND($C11&lt;&gt;"",E11&gt;0),F11/E11,"")</f>
        <v>0.0146396396396396</v>
      </c>
      <c r="K11" s="11" t="n">
        <f aca="false">IF(AND($C11&lt;&gt;"",F11&gt;0),G11/F11,"")</f>
        <v>0</v>
      </c>
      <c r="L11" s="12" t="n">
        <f aca="false">IF(AND($C11&lt;&gt;"",F11&gt;0),I11/F11,"")</f>
        <v>0</v>
      </c>
      <c r="M11" s="27" t="str">
        <f aca="false">IF($C11="","",IF(OR(F11=0,F11&lt;Settings!$B$5),"Need more data",IF(AND(K11&gt;=Settings!$B$6,L11&gt;=Settings!$B$7),"Keep",IF(AND(K11&lt;Settings!$B$6,L11&lt;Settings!$B$7),"Drop","Watch"))))</f>
        <v>Need more data</v>
      </c>
      <c r="N11" s="27" t="str">
        <f aca="false">IF($C11="","",IF(OR(F11&gt;E11,G11&gt;F11,E11&lt;0,F11&lt;0,G11&lt;0,H11&lt;0),"Check numbers","OK"))</f>
        <v>OK</v>
      </c>
    </row>
    <row r="12" customFormat="false" ht="15" hidden="false" customHeight="false" outlineLevel="0" collapsed="false">
      <c r="A12" s="25" t="n">
        <v>46249</v>
      </c>
      <c r="B12" s="21" t="s">
        <v>80</v>
      </c>
      <c r="C12" s="21" t="s">
        <v>96</v>
      </c>
      <c r="D12" s="21" t="s">
        <v>78</v>
      </c>
      <c r="E12" s="26" t="n">
        <v>3902</v>
      </c>
      <c r="F12" s="26" t="n">
        <v>146</v>
      </c>
      <c r="G12" s="26" t="n">
        <v>7</v>
      </c>
      <c r="H12" s="23" t="n">
        <v>76</v>
      </c>
      <c r="I12" s="10" t="n">
        <f aca="false">IF($C12="","",G12*H12)</f>
        <v>532</v>
      </c>
      <c r="J12" s="11" t="n">
        <f aca="false">IF(AND($C12&lt;&gt;"",E12&gt;0),F12/E12,"")</f>
        <v>0.0374167093798052</v>
      </c>
      <c r="K12" s="11" t="n">
        <f aca="false">IF(AND($C12&lt;&gt;"",F12&gt;0),G12/F12,"")</f>
        <v>0.0479452054794521</v>
      </c>
      <c r="L12" s="12" t="n">
        <f aca="false">IF(AND($C12&lt;&gt;"",F12&gt;0),I12/F12,"")</f>
        <v>3.64383561643836</v>
      </c>
      <c r="M12" s="27" t="str">
        <f aca="false">IF($C12="","",IF(OR(F12=0,F12&lt;Settings!$B$5),"Need more data",IF(AND(K12&gt;=Settings!$B$6,L12&gt;=Settings!$B$7),"Keep",IF(AND(K12&lt;Settings!$B$6,L12&lt;Settings!$B$7),"Drop","Watch"))))</f>
        <v>Keep</v>
      </c>
      <c r="N12" s="27" t="str">
        <f aca="false">IF($C12="","",IF(OR(F12&gt;E12,G12&gt;F12,E12&lt;0,F12&lt;0,G12&lt;0,H12&lt;0),"Check numbers","OK"))</f>
        <v>OK</v>
      </c>
    </row>
    <row r="13" customFormat="false" ht="15" hidden="false" customHeight="false" outlineLevel="0" collapsed="false">
      <c r="A13" s="25" t="n">
        <v>46251</v>
      </c>
      <c r="B13" s="21" t="s">
        <v>73</v>
      </c>
      <c r="C13" s="21" t="s">
        <v>97</v>
      </c>
      <c r="D13" s="21" t="s">
        <v>81</v>
      </c>
      <c r="E13" s="26" t="n">
        <v>3362</v>
      </c>
      <c r="F13" s="26" t="n">
        <v>30</v>
      </c>
      <c r="G13" s="26" t="n">
        <v>1</v>
      </c>
      <c r="H13" s="23" t="n">
        <v>49</v>
      </c>
      <c r="I13" s="10" t="n">
        <f aca="false">IF($C13="","",G13*H13)</f>
        <v>49</v>
      </c>
      <c r="J13" s="11" t="n">
        <f aca="false">IF(AND($C13&lt;&gt;"",E13&gt;0),F13/E13,"")</f>
        <v>0.00892325996430696</v>
      </c>
      <c r="K13" s="11" t="n">
        <f aca="false">IF(AND($C13&lt;&gt;"",F13&gt;0),G13/F13,"")</f>
        <v>0.0333333333333333</v>
      </c>
      <c r="L13" s="12" t="n">
        <f aca="false">IF(AND($C13&lt;&gt;"",F13&gt;0),I13/F13,"")</f>
        <v>1.63333333333333</v>
      </c>
      <c r="M13" s="27" t="str">
        <f aca="false">IF($C13="","",IF(OR(F13=0,F13&lt;Settings!$B$5),"Need more data",IF(AND(K13&gt;=Settings!$B$6,L13&gt;=Settings!$B$7),"Keep",IF(AND(K13&lt;Settings!$B$6,L13&lt;Settings!$B$7),"Drop","Watch"))))</f>
        <v>Watch</v>
      </c>
      <c r="N13" s="27" t="str">
        <f aca="false">IF($C13="","",IF(OR(F13&gt;E13,G13&gt;F13,E13&lt;0,F13&lt;0,G13&lt;0,H13&lt;0),"Check numbers","OK"))</f>
        <v>OK</v>
      </c>
    </row>
    <row r="14" customFormat="false" ht="15" hidden="false" customHeight="false" outlineLevel="0" collapsed="false">
      <c r="A14" s="25" t="n">
        <v>46253</v>
      </c>
      <c r="B14" s="21" t="s">
        <v>77</v>
      </c>
      <c r="C14" s="21" t="s">
        <v>98</v>
      </c>
      <c r="D14" s="21" t="s">
        <v>81</v>
      </c>
      <c r="E14" s="26" t="n">
        <v>1070</v>
      </c>
      <c r="F14" s="26" t="n">
        <v>29</v>
      </c>
      <c r="G14" s="26" t="n">
        <v>1</v>
      </c>
      <c r="H14" s="23" t="n">
        <v>61</v>
      </c>
      <c r="I14" s="10" t="n">
        <f aca="false">IF($C14="","",G14*H14)</f>
        <v>61</v>
      </c>
      <c r="J14" s="11" t="n">
        <f aca="false">IF(AND($C14&lt;&gt;"",E14&gt;0),F14/E14,"")</f>
        <v>0.0271028037383178</v>
      </c>
      <c r="K14" s="11" t="n">
        <f aca="false">IF(AND($C14&lt;&gt;"",F14&gt;0),G14/F14,"")</f>
        <v>0.0344827586206897</v>
      </c>
      <c r="L14" s="12" t="n">
        <f aca="false">IF(AND($C14&lt;&gt;"",F14&gt;0),I14/F14,"")</f>
        <v>2.10344827586207</v>
      </c>
      <c r="M14" s="27" t="str">
        <f aca="false">IF($C14="","",IF(OR(F14=0,F14&lt;Settings!$B$5),"Need more data",IF(AND(K14&gt;=Settings!$B$6,L14&gt;=Settings!$B$7),"Keep",IF(AND(K14&lt;Settings!$B$6,L14&lt;Settings!$B$7),"Drop","Watch"))))</f>
        <v>Need more data</v>
      </c>
      <c r="N14" s="27" t="str">
        <f aca="false">IF($C14="","",IF(OR(F14&gt;E14,G14&gt;F14,E14&lt;0,F14&lt;0,G14&lt;0,H14&lt;0),"Check numbers","OK"))</f>
        <v>OK</v>
      </c>
    </row>
    <row r="15" customFormat="false" ht="15" hidden="false" customHeight="false" outlineLevel="0" collapsed="false">
      <c r="A15" s="25" t="n">
        <v>46255</v>
      </c>
      <c r="B15" s="21" t="s">
        <v>73</v>
      </c>
      <c r="C15" s="21" t="s">
        <v>99</v>
      </c>
      <c r="D15" s="21" t="s">
        <v>81</v>
      </c>
      <c r="E15" s="26" t="n">
        <v>4076</v>
      </c>
      <c r="F15" s="26" t="n">
        <v>39</v>
      </c>
      <c r="G15" s="26" t="n">
        <v>1</v>
      </c>
      <c r="H15" s="23" t="n">
        <v>33</v>
      </c>
      <c r="I15" s="10" t="n">
        <f aca="false">IF($C15="","",G15*H15)</f>
        <v>33</v>
      </c>
      <c r="J15" s="11" t="n">
        <f aca="false">IF(AND($C15&lt;&gt;"",E15&gt;0),F15/E15,"")</f>
        <v>0.00956820412168793</v>
      </c>
      <c r="K15" s="11" t="n">
        <f aca="false">IF(AND($C15&lt;&gt;"",F15&gt;0),G15/F15,"")</f>
        <v>0.0256410256410256</v>
      </c>
      <c r="L15" s="12" t="n">
        <f aca="false">IF(AND($C15&lt;&gt;"",F15&gt;0),I15/F15,"")</f>
        <v>0.846153846153846</v>
      </c>
      <c r="M15" s="27" t="str">
        <f aca="false">IF($C15="","",IF(OR(F15=0,F15&lt;Settings!$B$5),"Need more data",IF(AND(K15&gt;=Settings!$B$6,L15&gt;=Settings!$B$7),"Keep",IF(AND(K15&lt;Settings!$B$6,L15&lt;Settings!$B$7),"Drop","Watch"))))</f>
        <v>Drop</v>
      </c>
      <c r="N15" s="27" t="str">
        <f aca="false">IF($C15="","",IF(OR(F15&gt;E15,G15&gt;F15,E15&lt;0,F15&lt;0,G15&lt;0,H15&lt;0),"Check numbers","OK"))</f>
        <v>OK</v>
      </c>
    </row>
    <row r="16" customFormat="false" ht="15" hidden="false" customHeight="false" outlineLevel="0" collapsed="false">
      <c r="A16" s="25" t="n">
        <v>46257</v>
      </c>
      <c r="B16" s="21" t="s">
        <v>77</v>
      </c>
      <c r="C16" s="21" t="s">
        <v>100</v>
      </c>
      <c r="D16" s="21" t="s">
        <v>82</v>
      </c>
      <c r="E16" s="26" t="n">
        <v>3825</v>
      </c>
      <c r="F16" s="26" t="n">
        <v>30</v>
      </c>
      <c r="G16" s="26" t="n">
        <v>0</v>
      </c>
      <c r="H16" s="23" t="n">
        <v>80</v>
      </c>
      <c r="I16" s="10" t="n">
        <f aca="false">IF($C16="","",G16*H16)</f>
        <v>0</v>
      </c>
      <c r="J16" s="11" t="n">
        <f aca="false">IF(AND($C16&lt;&gt;"",E16&gt;0),F16/E16,"")</f>
        <v>0.00784313725490196</v>
      </c>
      <c r="K16" s="11" t="n">
        <f aca="false">IF(AND($C16&lt;&gt;"",F16&gt;0),G16/F16,"")</f>
        <v>0</v>
      </c>
      <c r="L16" s="12" t="n">
        <f aca="false">IF(AND($C16&lt;&gt;"",F16&gt;0),I16/F16,"")</f>
        <v>0</v>
      </c>
      <c r="M16" s="27" t="str">
        <f aca="false">IF($C16="","",IF(OR(F16=0,F16&lt;Settings!$B$5),"Need more data",IF(AND(K16&gt;=Settings!$B$6,L16&gt;=Settings!$B$7),"Keep",IF(AND(K16&lt;Settings!$B$6,L16&lt;Settings!$B$7),"Drop","Watch"))))</f>
        <v>Drop</v>
      </c>
      <c r="N16" s="27" t="str">
        <f aca="false">IF($C16="","",IF(OR(F16&gt;E16,G16&gt;F16,E16&lt;0,F16&lt;0,G16&lt;0,H16&lt;0),"Check numbers","OK"))</f>
        <v>OK</v>
      </c>
    </row>
    <row r="17" customFormat="false" ht="15" hidden="false" customHeight="false" outlineLevel="0" collapsed="false">
      <c r="A17" s="25" t="n">
        <v>46259</v>
      </c>
      <c r="B17" s="21" t="s">
        <v>80</v>
      </c>
      <c r="C17" s="21" t="s">
        <v>101</v>
      </c>
      <c r="D17" s="21" t="s">
        <v>82</v>
      </c>
      <c r="E17" s="26" t="n">
        <v>3854</v>
      </c>
      <c r="F17" s="26" t="n">
        <v>39</v>
      </c>
      <c r="G17" s="26" t="n">
        <v>2</v>
      </c>
      <c r="H17" s="23" t="n">
        <v>89</v>
      </c>
      <c r="I17" s="10" t="n">
        <f aca="false">IF($C17="","",G17*H17)</f>
        <v>178</v>
      </c>
      <c r="J17" s="11" t="n">
        <f aca="false">IF(AND($C17&lt;&gt;"",E17&gt;0),F17/E17,"")</f>
        <v>0.0101193565127141</v>
      </c>
      <c r="K17" s="11" t="n">
        <f aca="false">IF(AND($C17&lt;&gt;"",F17&gt;0),G17/F17,"")</f>
        <v>0.0512820512820513</v>
      </c>
      <c r="L17" s="12" t="n">
        <f aca="false">IF(AND($C17&lt;&gt;"",F17&gt;0),I17/F17,"")</f>
        <v>4.56410256410256</v>
      </c>
      <c r="M17" s="27" t="str">
        <f aca="false">IF($C17="","",IF(OR(F17=0,F17&lt;Settings!$B$5),"Need more data",IF(AND(K17&gt;=Settings!$B$6,L17&gt;=Settings!$B$7),"Keep",IF(AND(K17&lt;Settings!$B$6,L17&lt;Settings!$B$7),"Drop","Watch"))))</f>
        <v>Keep</v>
      </c>
      <c r="N17" s="27" t="str">
        <f aca="false">IF($C17="","",IF(OR(F17&gt;E17,G17&gt;F17,E17&lt;0,F17&lt;0,G17&lt;0,H17&lt;0),"Check numbers","OK"))</f>
        <v>OK</v>
      </c>
    </row>
    <row r="18" customFormat="false" ht="15" hidden="false" customHeight="false" outlineLevel="0" collapsed="false">
      <c r="A18" s="25" t="n">
        <v>46261</v>
      </c>
      <c r="B18" s="21" t="s">
        <v>73</v>
      </c>
      <c r="C18" s="21" t="s">
        <v>102</v>
      </c>
      <c r="D18" s="21" t="s">
        <v>82</v>
      </c>
      <c r="E18" s="26" t="n">
        <v>2970</v>
      </c>
      <c r="F18" s="26" t="n">
        <v>90</v>
      </c>
      <c r="G18" s="26" t="n">
        <v>5</v>
      </c>
      <c r="H18" s="23" t="n">
        <v>81</v>
      </c>
      <c r="I18" s="10" t="n">
        <f aca="false">IF($C18="","",G18*H18)</f>
        <v>405</v>
      </c>
      <c r="J18" s="11" t="n">
        <f aca="false">IF(AND($C18&lt;&gt;"",E18&gt;0),F18/E18,"")</f>
        <v>0.0303030303030303</v>
      </c>
      <c r="K18" s="11" t="n">
        <f aca="false">IF(AND($C18&lt;&gt;"",F18&gt;0),G18/F18,"")</f>
        <v>0.0555555555555556</v>
      </c>
      <c r="L18" s="12" t="n">
        <f aca="false">IF(AND($C18&lt;&gt;"",F18&gt;0),I18/F18,"")</f>
        <v>4.5</v>
      </c>
      <c r="M18" s="27" t="str">
        <f aca="false">IF($C18="","",IF(OR(F18=0,F18&lt;Settings!$B$5),"Need more data",IF(AND(K18&gt;=Settings!$B$6,L18&gt;=Settings!$B$7),"Keep",IF(AND(K18&lt;Settings!$B$6,L18&lt;Settings!$B$7),"Drop","Watch"))))</f>
        <v>Keep</v>
      </c>
      <c r="N18" s="27" t="str">
        <f aca="false">IF($C18="","",IF(OR(F18&gt;E18,G18&gt;F18,E18&lt;0,F18&lt;0,G18&lt;0,H18&lt;0),"Check numbers","OK"))</f>
        <v>OK</v>
      </c>
    </row>
    <row r="19" customFormat="false" ht="15" hidden="false" customHeight="false" outlineLevel="0" collapsed="false">
      <c r="A19" s="25" t="n">
        <v>46263</v>
      </c>
      <c r="B19" s="21" t="s">
        <v>77</v>
      </c>
      <c r="C19" s="21" t="s">
        <v>89</v>
      </c>
      <c r="D19" s="21" t="s">
        <v>74</v>
      </c>
      <c r="E19" s="26" t="n">
        <v>4137</v>
      </c>
      <c r="F19" s="26" t="n">
        <v>40</v>
      </c>
      <c r="G19" s="26" t="n">
        <v>0</v>
      </c>
      <c r="H19" s="23" t="n">
        <v>52</v>
      </c>
      <c r="I19" s="10" t="n">
        <f aca="false">IF($C19="","",G19*H19)</f>
        <v>0</v>
      </c>
      <c r="J19" s="11" t="n">
        <f aca="false">IF(AND($C19&lt;&gt;"",E19&gt;0),F19/E19,"")</f>
        <v>0.0096688421561518</v>
      </c>
      <c r="K19" s="11" t="n">
        <f aca="false">IF(AND($C19&lt;&gt;"",F19&gt;0),G19/F19,"")</f>
        <v>0</v>
      </c>
      <c r="L19" s="12" t="n">
        <f aca="false">IF(AND($C19&lt;&gt;"",F19&gt;0),I19/F19,"")</f>
        <v>0</v>
      </c>
      <c r="M19" s="27" t="str">
        <f aca="false">IF($C19="","",IF(OR(F19=0,F19&lt;Settings!$B$5),"Need more data",IF(AND(K19&gt;=Settings!$B$6,L19&gt;=Settings!$B$7),"Keep",IF(AND(K19&lt;Settings!$B$6,L19&lt;Settings!$B$7),"Drop","Watch"))))</f>
        <v>Drop</v>
      </c>
      <c r="N19" s="27" t="str">
        <f aca="false">IF($C19="","",IF(OR(F19&gt;E19,G19&gt;F19,E19&lt;0,F19&lt;0,G19&lt;0,H19&lt;0),"Check numbers","OK"))</f>
        <v>OK</v>
      </c>
    </row>
    <row r="20" customFormat="false" ht="15" hidden="false" customHeight="false" outlineLevel="0" collapsed="false">
      <c r="A20" s="25" t="n">
        <v>46265</v>
      </c>
      <c r="B20" s="21" t="s">
        <v>73</v>
      </c>
      <c r="C20" s="21" t="s">
        <v>90</v>
      </c>
      <c r="D20" s="21" t="s">
        <v>74</v>
      </c>
      <c r="E20" s="26" t="n">
        <v>4283</v>
      </c>
      <c r="F20" s="26" t="n">
        <v>85</v>
      </c>
      <c r="G20" s="26" t="n">
        <v>0</v>
      </c>
      <c r="H20" s="23" t="n">
        <v>57</v>
      </c>
      <c r="I20" s="10" t="n">
        <f aca="false">IF($C20="","",G20*H20)</f>
        <v>0</v>
      </c>
      <c r="J20" s="11" t="n">
        <f aca="false">IF(AND($C20&lt;&gt;"",E20&gt;0),F20/E20,"")</f>
        <v>0.0198459024048564</v>
      </c>
      <c r="K20" s="11" t="n">
        <f aca="false">IF(AND($C20&lt;&gt;"",F20&gt;0),G20/F20,"")</f>
        <v>0</v>
      </c>
      <c r="L20" s="12" t="n">
        <f aca="false">IF(AND($C20&lt;&gt;"",F20&gt;0),I20/F20,"")</f>
        <v>0</v>
      </c>
      <c r="M20" s="27" t="str">
        <f aca="false">IF($C20="","",IF(OR(F20=0,F20&lt;Settings!$B$5),"Need more data",IF(AND(K20&gt;=Settings!$B$6,L20&gt;=Settings!$B$7),"Keep",IF(AND(K20&lt;Settings!$B$6,L20&lt;Settings!$B$7),"Drop","Watch"))))</f>
        <v>Drop</v>
      </c>
      <c r="N20" s="27" t="str">
        <f aca="false">IF($C20="","",IF(OR(F20&gt;E20,G20&gt;F20,E20&lt;0,F20&lt;0,G20&lt;0,H20&lt;0),"Check numbers","OK"))</f>
        <v>OK</v>
      </c>
    </row>
    <row r="21" customFormat="false" ht="15" hidden="false" customHeight="false" outlineLevel="0" collapsed="false">
      <c r="A21" s="25" t="n">
        <v>46267</v>
      </c>
      <c r="B21" s="21" t="s">
        <v>77</v>
      </c>
      <c r="C21" s="21" t="s">
        <v>91</v>
      </c>
      <c r="D21" s="21" t="s">
        <v>74</v>
      </c>
      <c r="E21" s="26" t="n">
        <v>4050</v>
      </c>
      <c r="F21" s="26" t="n">
        <v>95</v>
      </c>
      <c r="G21" s="26" t="n">
        <v>5</v>
      </c>
      <c r="H21" s="23" t="n">
        <v>62</v>
      </c>
      <c r="I21" s="10" t="n">
        <f aca="false">IF($C21="","",G21*H21)</f>
        <v>310</v>
      </c>
      <c r="J21" s="11" t="n">
        <f aca="false">IF(AND($C21&lt;&gt;"",E21&gt;0),F21/E21,"")</f>
        <v>0.0234567901234568</v>
      </c>
      <c r="K21" s="11" t="n">
        <f aca="false">IF(AND($C21&lt;&gt;"",F21&gt;0),G21/F21,"")</f>
        <v>0.0526315789473684</v>
      </c>
      <c r="L21" s="12" t="n">
        <f aca="false">IF(AND($C21&lt;&gt;"",F21&gt;0),I21/F21,"")</f>
        <v>3.26315789473684</v>
      </c>
      <c r="M21" s="27" t="str">
        <f aca="false">IF($C21="","",IF(OR(F21=0,F21&lt;Settings!$B$5),"Need more data",IF(AND(K21&gt;=Settings!$B$6,L21&gt;=Settings!$B$7),"Keep",IF(AND(K21&lt;Settings!$B$6,L21&lt;Settings!$B$7),"Drop","Watch"))))</f>
        <v>Keep</v>
      </c>
      <c r="N21" s="27" t="str">
        <f aca="false">IF($C21="","",IF(OR(F21&gt;E21,G21&gt;F21,E21&lt;0,F21&lt;0,G21&lt;0,H21&lt;0),"Check numbers","OK"))</f>
        <v>OK</v>
      </c>
    </row>
    <row r="22" customFormat="false" ht="15" hidden="false" customHeight="false" outlineLevel="0" collapsed="false">
      <c r="A22" s="25" t="n">
        <v>46269</v>
      </c>
      <c r="B22" s="21" t="s">
        <v>80</v>
      </c>
      <c r="C22" s="21" t="s">
        <v>92</v>
      </c>
      <c r="D22" s="21" t="s">
        <v>74</v>
      </c>
      <c r="E22" s="26" t="n">
        <v>584</v>
      </c>
      <c r="F22" s="26" t="n">
        <v>12</v>
      </c>
      <c r="G22" s="26" t="n">
        <v>0</v>
      </c>
      <c r="H22" s="23" t="n">
        <v>32</v>
      </c>
      <c r="I22" s="10" t="n">
        <f aca="false">IF($C22="","",G22*H22)</f>
        <v>0</v>
      </c>
      <c r="J22" s="11" t="n">
        <f aca="false">IF(AND($C22&lt;&gt;"",E22&gt;0),F22/E22,"")</f>
        <v>0.0205479452054795</v>
      </c>
      <c r="K22" s="11" t="n">
        <f aca="false">IF(AND($C22&lt;&gt;"",F22&gt;0),G22/F22,"")</f>
        <v>0</v>
      </c>
      <c r="L22" s="12" t="n">
        <f aca="false">IF(AND($C22&lt;&gt;"",F22&gt;0),I22/F22,"")</f>
        <v>0</v>
      </c>
      <c r="M22" s="27" t="str">
        <f aca="false">IF($C22="","",IF(OR(F22=0,F22&lt;Settings!$B$5),"Need more data",IF(AND(K22&gt;=Settings!$B$6,L22&gt;=Settings!$B$7),"Keep",IF(AND(K22&lt;Settings!$B$6,L22&lt;Settings!$B$7),"Drop","Watch"))))</f>
        <v>Need more data</v>
      </c>
      <c r="N22" s="27" t="str">
        <f aca="false">IF($C22="","",IF(OR(F22&gt;E22,G22&gt;F22,E22&lt;0,F22&lt;0,G22&lt;0,H22&lt;0),"Check numbers","OK"))</f>
        <v>OK</v>
      </c>
    </row>
    <row r="23" customFormat="false" ht="15" hidden="false" customHeight="false" outlineLevel="0" collapsed="false">
      <c r="A23" s="25" t="n">
        <v>46271</v>
      </c>
      <c r="B23" s="21" t="s">
        <v>73</v>
      </c>
      <c r="C23" s="21" t="s">
        <v>93</v>
      </c>
      <c r="D23" s="21" t="s">
        <v>78</v>
      </c>
      <c r="E23" s="26" t="n">
        <v>4444</v>
      </c>
      <c r="F23" s="26" t="n">
        <v>55</v>
      </c>
      <c r="G23" s="26" t="n">
        <v>4</v>
      </c>
      <c r="H23" s="23" t="n">
        <v>34</v>
      </c>
      <c r="I23" s="10" t="n">
        <f aca="false">IF($C23="","",G23*H23)</f>
        <v>136</v>
      </c>
      <c r="J23" s="11" t="n">
        <f aca="false">IF(AND($C23&lt;&gt;"",E23&gt;0),F23/E23,"")</f>
        <v>0.0123762376237624</v>
      </c>
      <c r="K23" s="11" t="n">
        <f aca="false">IF(AND($C23&lt;&gt;"",F23&gt;0),G23/F23,"")</f>
        <v>0.0727272727272727</v>
      </c>
      <c r="L23" s="12" t="n">
        <f aca="false">IF(AND($C23&lt;&gt;"",F23&gt;0),I23/F23,"")</f>
        <v>2.47272727272727</v>
      </c>
      <c r="M23" s="27" t="str">
        <f aca="false">IF($C23="","",IF(OR(F23=0,F23&lt;Settings!$B$5),"Need more data",IF(AND(K23&gt;=Settings!$B$6,L23&gt;=Settings!$B$7),"Keep",IF(AND(K23&lt;Settings!$B$6,L23&lt;Settings!$B$7),"Drop","Watch"))))</f>
        <v>Keep</v>
      </c>
      <c r="N23" s="27" t="str">
        <f aca="false">IF($C23="","",IF(OR(F23&gt;E23,G23&gt;F23,E23&lt;0,F23&lt;0,G23&lt;0,H23&lt;0),"Check numbers","OK"))</f>
        <v>OK</v>
      </c>
    </row>
    <row r="24" customFormat="false" ht="15" hidden="false" customHeight="false" outlineLevel="0" collapsed="false">
      <c r="A24" s="25" t="n">
        <v>46273</v>
      </c>
      <c r="B24" s="21" t="s">
        <v>77</v>
      </c>
      <c r="C24" s="21" t="s">
        <v>94</v>
      </c>
      <c r="D24" s="21" t="s">
        <v>78</v>
      </c>
      <c r="E24" s="26" t="n">
        <v>2428</v>
      </c>
      <c r="F24" s="26" t="n">
        <v>48</v>
      </c>
      <c r="G24" s="26" t="n">
        <v>3</v>
      </c>
      <c r="H24" s="23" t="n">
        <v>81</v>
      </c>
      <c r="I24" s="10" t="n">
        <f aca="false">IF($C24="","",G24*H24)</f>
        <v>243</v>
      </c>
      <c r="J24" s="11" t="n">
        <f aca="false">IF(AND($C24&lt;&gt;"",E24&gt;0),F24/E24,"")</f>
        <v>0.0197693574958814</v>
      </c>
      <c r="K24" s="11" t="n">
        <f aca="false">IF(AND($C24&lt;&gt;"",F24&gt;0),G24/F24,"")</f>
        <v>0.0625</v>
      </c>
      <c r="L24" s="12" t="n">
        <f aca="false">IF(AND($C24&lt;&gt;"",F24&gt;0),I24/F24,"")</f>
        <v>5.0625</v>
      </c>
      <c r="M24" s="27" t="str">
        <f aca="false">IF($C24="","",IF(OR(F24=0,F24&lt;Settings!$B$5),"Need more data",IF(AND(K24&gt;=Settings!$B$6,L24&gt;=Settings!$B$7),"Keep",IF(AND(K24&lt;Settings!$B$6,L24&lt;Settings!$B$7),"Drop","Watch"))))</f>
        <v>Keep</v>
      </c>
      <c r="N24" s="27" t="str">
        <f aca="false">IF($C24="","",IF(OR(F24&gt;E24,G24&gt;F24,E24&lt;0,F24&lt;0,G24&lt;0,H24&lt;0),"Check numbers","OK"))</f>
        <v>OK</v>
      </c>
    </row>
    <row r="25" customFormat="false" ht="15" hidden="false" customHeight="false" outlineLevel="0" collapsed="false">
      <c r="A25" s="25" t="n">
        <v>46275</v>
      </c>
      <c r="B25" s="21" t="s">
        <v>73</v>
      </c>
      <c r="C25" s="21" t="s">
        <v>95</v>
      </c>
      <c r="D25" s="21" t="s">
        <v>78</v>
      </c>
      <c r="E25" s="26" t="n">
        <v>1060</v>
      </c>
      <c r="F25" s="26" t="n">
        <v>7</v>
      </c>
      <c r="G25" s="26" t="n">
        <v>0</v>
      </c>
      <c r="H25" s="23" t="n">
        <v>53</v>
      </c>
      <c r="I25" s="10" t="n">
        <f aca="false">IF($C25="","",G25*H25)</f>
        <v>0</v>
      </c>
      <c r="J25" s="11" t="n">
        <f aca="false">IF(AND($C25&lt;&gt;"",E25&gt;0),F25/E25,"")</f>
        <v>0.00660377358490566</v>
      </c>
      <c r="K25" s="11" t="n">
        <f aca="false">IF(AND($C25&lt;&gt;"",F25&gt;0),G25/F25,"")</f>
        <v>0</v>
      </c>
      <c r="L25" s="12" t="n">
        <f aca="false">IF(AND($C25&lt;&gt;"",F25&gt;0),I25/F25,"")</f>
        <v>0</v>
      </c>
      <c r="M25" s="27" t="str">
        <f aca="false">IF($C25="","",IF(OR(F25=0,F25&lt;Settings!$B$5),"Need more data",IF(AND(K25&gt;=Settings!$B$6,L25&gt;=Settings!$B$7),"Keep",IF(AND(K25&lt;Settings!$B$6,L25&lt;Settings!$B$7),"Drop","Watch"))))</f>
        <v>Need more data</v>
      </c>
      <c r="N25" s="27" t="str">
        <f aca="false">IF($C25="","",IF(OR(F25&gt;E25,G25&gt;F25,E25&lt;0,F25&lt;0,G25&lt;0,H25&lt;0),"Check numbers","OK"))</f>
        <v>OK</v>
      </c>
    </row>
    <row r="26" customFormat="false" ht="15" hidden="false" customHeight="false" outlineLevel="0" collapsed="false">
      <c r="A26" s="25" t="n">
        <v>46277</v>
      </c>
      <c r="B26" s="21" t="s">
        <v>77</v>
      </c>
      <c r="C26" s="21" t="s">
        <v>96</v>
      </c>
      <c r="D26" s="21" t="s">
        <v>78</v>
      </c>
      <c r="E26" s="26" t="n">
        <v>1521</v>
      </c>
      <c r="F26" s="26" t="n">
        <v>59</v>
      </c>
      <c r="G26" s="26" t="n">
        <v>5</v>
      </c>
      <c r="H26" s="23" t="n">
        <v>53</v>
      </c>
      <c r="I26" s="10" t="n">
        <f aca="false">IF($C26="","",G26*H26)</f>
        <v>265</v>
      </c>
      <c r="J26" s="11" t="n">
        <f aca="false">IF(AND($C26&lt;&gt;"",E26&gt;0),F26/E26,"")</f>
        <v>0.0387902695595003</v>
      </c>
      <c r="K26" s="11" t="n">
        <f aca="false">IF(AND($C26&lt;&gt;"",F26&gt;0),G26/F26,"")</f>
        <v>0.0847457627118644</v>
      </c>
      <c r="L26" s="12" t="n">
        <f aca="false">IF(AND($C26&lt;&gt;"",F26&gt;0),I26/F26,"")</f>
        <v>4.49152542372881</v>
      </c>
      <c r="M26" s="27" t="str">
        <f aca="false">IF($C26="","",IF(OR(F26=0,F26&lt;Settings!$B$5),"Need more data",IF(AND(K26&gt;=Settings!$B$6,L26&gt;=Settings!$B$7),"Keep",IF(AND(K26&lt;Settings!$B$6,L26&lt;Settings!$B$7),"Drop","Watch"))))</f>
        <v>Keep</v>
      </c>
      <c r="N26" s="27" t="str">
        <f aca="false">IF($C26="","",IF(OR(F26&gt;E26,G26&gt;F26,E26&lt;0,F26&lt;0,G26&lt;0,H26&lt;0),"Check numbers","OK"))</f>
        <v>OK</v>
      </c>
    </row>
    <row r="27" customFormat="false" ht="15" hidden="false" customHeight="false" outlineLevel="0" collapsed="false">
      <c r="A27" s="25" t="n">
        <v>46279</v>
      </c>
      <c r="B27" s="21" t="s">
        <v>80</v>
      </c>
      <c r="C27" s="21" t="s">
        <v>97</v>
      </c>
      <c r="D27" s="21" t="s">
        <v>81</v>
      </c>
      <c r="E27" s="26" t="n">
        <v>3802</v>
      </c>
      <c r="F27" s="26" t="n">
        <v>75</v>
      </c>
      <c r="G27" s="26" t="n">
        <v>2</v>
      </c>
      <c r="H27" s="23" t="n">
        <v>66</v>
      </c>
      <c r="I27" s="10" t="n">
        <f aca="false">IF($C27="","",G27*H27)</f>
        <v>132</v>
      </c>
      <c r="J27" s="11" t="n">
        <f aca="false">IF(AND($C27&lt;&gt;"",E27&gt;0),F27/E27,"")</f>
        <v>0.0197264597580221</v>
      </c>
      <c r="K27" s="11" t="n">
        <f aca="false">IF(AND($C27&lt;&gt;"",F27&gt;0),G27/F27,"")</f>
        <v>0.0266666666666667</v>
      </c>
      <c r="L27" s="12" t="n">
        <f aca="false">IF(AND($C27&lt;&gt;"",F27&gt;0),I27/F27,"")</f>
        <v>1.76</v>
      </c>
      <c r="M27" s="27" t="str">
        <f aca="false">IF($C27="","",IF(OR(F27=0,F27&lt;Settings!$B$5),"Need more data",IF(AND(K27&gt;=Settings!$B$6,L27&gt;=Settings!$B$7),"Keep",IF(AND(K27&lt;Settings!$B$6,L27&lt;Settings!$B$7),"Drop","Watch"))))</f>
        <v>Watch</v>
      </c>
      <c r="N27" s="27" t="str">
        <f aca="false">IF($C27="","",IF(OR(F27&gt;E27,G27&gt;F27,E27&lt;0,F27&lt;0,G27&lt;0,H27&lt;0),"Check numbers","OK"))</f>
        <v>OK</v>
      </c>
    </row>
    <row r="28" customFormat="false" ht="15" hidden="false" customHeight="false" outlineLevel="0" collapsed="false">
      <c r="A28" s="25" t="n">
        <v>46281</v>
      </c>
      <c r="B28" s="21" t="s">
        <v>73</v>
      </c>
      <c r="C28" s="21" t="s">
        <v>98</v>
      </c>
      <c r="D28" s="21" t="s">
        <v>81</v>
      </c>
      <c r="E28" s="26" t="n">
        <v>2290</v>
      </c>
      <c r="F28" s="26" t="n">
        <v>32</v>
      </c>
      <c r="G28" s="26" t="n">
        <v>0</v>
      </c>
      <c r="H28" s="23" t="n">
        <v>47</v>
      </c>
      <c r="I28" s="10" t="n">
        <f aca="false">IF($C28="","",G28*H28)</f>
        <v>0</v>
      </c>
      <c r="J28" s="11" t="n">
        <f aca="false">IF(AND($C28&lt;&gt;"",E28&gt;0),F28/E28,"")</f>
        <v>0.0139737991266376</v>
      </c>
      <c r="K28" s="11" t="n">
        <f aca="false">IF(AND($C28&lt;&gt;"",F28&gt;0),G28/F28,"")</f>
        <v>0</v>
      </c>
      <c r="L28" s="12" t="n">
        <f aca="false">IF(AND($C28&lt;&gt;"",F28&gt;0),I28/F28,"")</f>
        <v>0</v>
      </c>
      <c r="M28" s="27" t="str">
        <f aca="false">IF($C28="","",IF(OR(F28=0,F28&lt;Settings!$B$5),"Need more data",IF(AND(K28&gt;=Settings!$B$6,L28&gt;=Settings!$B$7),"Keep",IF(AND(K28&lt;Settings!$B$6,L28&lt;Settings!$B$7),"Drop","Watch"))))</f>
        <v>Drop</v>
      </c>
      <c r="N28" s="27" t="str">
        <f aca="false">IF($C28="","",IF(OR(F28&gt;E28,G28&gt;F28,E28&lt;0,F28&lt;0,G28&lt;0,H28&lt;0),"Check numbers","OK"))</f>
        <v>OK</v>
      </c>
    </row>
    <row r="29" customFormat="false" ht="15" hidden="false" customHeight="false" outlineLevel="0" collapsed="false">
      <c r="A29" s="25" t="n">
        <v>46283</v>
      </c>
      <c r="B29" s="21" t="s">
        <v>77</v>
      </c>
      <c r="C29" s="21" t="s">
        <v>99</v>
      </c>
      <c r="D29" s="21" t="s">
        <v>81</v>
      </c>
      <c r="E29" s="26" t="n">
        <v>2311</v>
      </c>
      <c r="F29" s="26" t="n">
        <v>11</v>
      </c>
      <c r="G29" s="26" t="n">
        <v>0</v>
      </c>
      <c r="H29" s="23" t="n">
        <v>41</v>
      </c>
      <c r="I29" s="10" t="n">
        <f aca="false">IF($C29="","",G29*H29)</f>
        <v>0</v>
      </c>
      <c r="J29" s="11" t="n">
        <f aca="false">IF(AND($C29&lt;&gt;"",E29&gt;0),F29/E29,"")</f>
        <v>0.00475984422327997</v>
      </c>
      <c r="K29" s="11" t="n">
        <f aca="false">IF(AND($C29&lt;&gt;"",F29&gt;0),G29/F29,"")</f>
        <v>0</v>
      </c>
      <c r="L29" s="12" t="n">
        <f aca="false">IF(AND($C29&lt;&gt;"",F29&gt;0),I29/F29,"")</f>
        <v>0</v>
      </c>
      <c r="M29" s="27" t="str">
        <f aca="false">IF($C29="","",IF(OR(F29=0,F29&lt;Settings!$B$5),"Need more data",IF(AND(K29&gt;=Settings!$B$6,L29&gt;=Settings!$B$7),"Keep",IF(AND(K29&lt;Settings!$B$6,L29&lt;Settings!$B$7),"Drop","Watch"))))</f>
        <v>Need more data</v>
      </c>
      <c r="N29" s="27" t="str">
        <f aca="false">IF($C29="","",IF(OR(F29&gt;E29,G29&gt;F29,E29&lt;0,F29&lt;0,G29&lt;0,H29&lt;0),"Check numbers","OK"))</f>
        <v>OK</v>
      </c>
    </row>
    <row r="30" customFormat="false" ht="15" hidden="false" customHeight="false" outlineLevel="0" collapsed="false">
      <c r="A30" s="25" t="n">
        <v>46285</v>
      </c>
      <c r="B30" s="21" t="s">
        <v>73</v>
      </c>
      <c r="C30" s="21" t="s">
        <v>100</v>
      </c>
      <c r="D30" s="21" t="s">
        <v>82</v>
      </c>
      <c r="E30" s="26" t="n">
        <v>2552</v>
      </c>
      <c r="F30" s="26" t="n">
        <v>25</v>
      </c>
      <c r="G30" s="26" t="n">
        <v>0</v>
      </c>
      <c r="H30" s="23" t="n">
        <v>86</v>
      </c>
      <c r="I30" s="10" t="n">
        <f aca="false">IF($C30="","",G30*H30)</f>
        <v>0</v>
      </c>
      <c r="J30" s="11" t="n">
        <f aca="false">IF(AND($C30&lt;&gt;"",E30&gt;0),F30/E30,"")</f>
        <v>0.00979623824451411</v>
      </c>
      <c r="K30" s="11" t="n">
        <f aca="false">IF(AND($C30&lt;&gt;"",F30&gt;0),G30/F30,"")</f>
        <v>0</v>
      </c>
      <c r="L30" s="12" t="n">
        <f aca="false">IF(AND($C30&lt;&gt;"",F30&gt;0),I30/F30,"")</f>
        <v>0</v>
      </c>
      <c r="M30" s="27" t="str">
        <f aca="false">IF($C30="","",IF(OR(F30=0,F30&lt;Settings!$B$5),"Need more data",IF(AND(K30&gt;=Settings!$B$6,L30&gt;=Settings!$B$7),"Keep",IF(AND(K30&lt;Settings!$B$6,L30&lt;Settings!$B$7),"Drop","Watch"))))</f>
        <v>Need more data</v>
      </c>
      <c r="N30" s="27" t="str">
        <f aca="false">IF($C30="","",IF(OR(F30&gt;E30,G30&gt;F30,E30&lt;0,F30&lt;0,G30&lt;0,H30&lt;0),"Check numbers","OK"))</f>
        <v>OK</v>
      </c>
    </row>
    <row r="31" customFormat="false" ht="15" hidden="false" customHeight="false" outlineLevel="0" collapsed="false">
      <c r="A31" s="25" t="n">
        <v>46287</v>
      </c>
      <c r="B31" s="21" t="s">
        <v>77</v>
      </c>
      <c r="C31" s="21" t="s">
        <v>101</v>
      </c>
      <c r="D31" s="21" t="s">
        <v>82</v>
      </c>
      <c r="E31" s="26" t="n">
        <v>3424</v>
      </c>
      <c r="F31" s="26" t="n">
        <v>97</v>
      </c>
      <c r="G31" s="26" t="n">
        <v>3</v>
      </c>
      <c r="H31" s="23" t="n">
        <v>34</v>
      </c>
      <c r="I31" s="10" t="n">
        <f aca="false">IF($C31="","",G31*H31)</f>
        <v>102</v>
      </c>
      <c r="J31" s="11" t="n">
        <f aca="false">IF(AND($C31&lt;&gt;"",E31&gt;0),F31/E31,"")</f>
        <v>0.0283294392523365</v>
      </c>
      <c r="K31" s="11" t="n">
        <f aca="false">IF(AND($C31&lt;&gt;"",F31&gt;0),G31/F31,"")</f>
        <v>0.0309278350515464</v>
      </c>
      <c r="L31" s="12" t="n">
        <f aca="false">IF(AND($C31&lt;&gt;"",F31&gt;0),I31/F31,"")</f>
        <v>1.05154639175258</v>
      </c>
      <c r="M31" s="27" t="str">
        <f aca="false">IF($C31="","",IF(OR(F31=0,F31&lt;Settings!$B$5),"Need more data",IF(AND(K31&gt;=Settings!$B$6,L31&gt;=Settings!$B$7),"Keep",IF(AND(K31&lt;Settings!$B$6,L31&lt;Settings!$B$7),"Drop","Watch"))))</f>
        <v>Drop</v>
      </c>
      <c r="N31" s="27" t="str">
        <f aca="false">IF($C31="","",IF(OR(F31&gt;E31,G31&gt;F31,E31&lt;0,F31&lt;0,G31&lt;0,H31&lt;0),"Check numbers","OK"))</f>
        <v>OK</v>
      </c>
    </row>
    <row r="32" customFormat="false" ht="15" hidden="false" customHeight="false" outlineLevel="0" collapsed="false">
      <c r="A32" s="25" t="n">
        <v>46289</v>
      </c>
      <c r="B32" s="21" t="s">
        <v>80</v>
      </c>
      <c r="C32" s="21" t="s">
        <v>102</v>
      </c>
      <c r="D32" s="21" t="s">
        <v>82</v>
      </c>
      <c r="E32" s="26" t="n">
        <v>842</v>
      </c>
      <c r="F32" s="26" t="n">
        <v>30</v>
      </c>
      <c r="G32" s="26" t="n">
        <v>3</v>
      </c>
      <c r="H32" s="23" t="n">
        <v>89</v>
      </c>
      <c r="I32" s="10" t="n">
        <f aca="false">IF($C32="","",G32*H32)</f>
        <v>267</v>
      </c>
      <c r="J32" s="11" t="n">
        <f aca="false">IF(AND($C32&lt;&gt;"",E32&gt;0),F32/E32,"")</f>
        <v>0.0356294536817102</v>
      </c>
      <c r="K32" s="11" t="n">
        <f aca="false">IF(AND($C32&lt;&gt;"",F32&gt;0),G32/F32,"")</f>
        <v>0.1</v>
      </c>
      <c r="L32" s="12" t="n">
        <f aca="false">IF(AND($C32&lt;&gt;"",F32&gt;0),I32/F32,"")</f>
        <v>8.9</v>
      </c>
      <c r="M32" s="27" t="str">
        <f aca="false">IF($C32="","",IF(OR(F32=0,F32&lt;Settings!$B$5),"Need more data",IF(AND(K32&gt;=Settings!$B$6,L32&gt;=Settings!$B$7),"Keep",IF(AND(K32&lt;Settings!$B$6,L32&lt;Settings!$B$7),"Drop","Watch"))))</f>
        <v>Keep</v>
      </c>
      <c r="N32" s="27" t="str">
        <f aca="false">IF($C32="","",IF(OR(F32&gt;E32,G32&gt;F32,E32&lt;0,F32&lt;0,G32&lt;0,H32&lt;0),"Check numbers","OK"))</f>
        <v>OK</v>
      </c>
    </row>
    <row r="33" customFormat="false" ht="15" hidden="false" customHeight="false" outlineLevel="0" collapsed="false">
      <c r="A33" s="25" t="n">
        <v>46291</v>
      </c>
      <c r="B33" s="21" t="s">
        <v>73</v>
      </c>
      <c r="C33" s="21" t="s">
        <v>89</v>
      </c>
      <c r="D33" s="21" t="s">
        <v>74</v>
      </c>
      <c r="E33" s="26" t="n">
        <v>3614</v>
      </c>
      <c r="F33" s="26" t="n">
        <v>68</v>
      </c>
      <c r="G33" s="26" t="n">
        <v>2</v>
      </c>
      <c r="H33" s="23" t="n">
        <v>79</v>
      </c>
      <c r="I33" s="10" t="n">
        <f aca="false">IF($C33="","",G33*H33)</f>
        <v>158</v>
      </c>
      <c r="J33" s="11" t="n">
        <f aca="false">IF(AND($C33&lt;&gt;"",E33&gt;0),F33/E33,"")</f>
        <v>0.0188157166574433</v>
      </c>
      <c r="K33" s="11" t="n">
        <f aca="false">IF(AND($C33&lt;&gt;"",F33&gt;0),G33/F33,"")</f>
        <v>0.0294117647058824</v>
      </c>
      <c r="L33" s="12" t="n">
        <f aca="false">IF(AND($C33&lt;&gt;"",F33&gt;0),I33/F33,"")</f>
        <v>2.32352941176471</v>
      </c>
      <c r="M33" s="27" t="str">
        <f aca="false">IF($C33="","",IF(OR(F33=0,F33&lt;Settings!$B$5),"Need more data",IF(AND(K33&gt;=Settings!$B$6,L33&gt;=Settings!$B$7),"Keep",IF(AND(K33&lt;Settings!$B$6,L33&lt;Settings!$B$7),"Drop","Watch"))))</f>
        <v>Watch</v>
      </c>
      <c r="N33" s="27" t="str">
        <f aca="false">IF($C33="","",IF(OR(F33&gt;E33,G33&gt;F33,E33&lt;0,F33&lt;0,G33&lt;0,H33&lt;0),"Check numbers","OK"))</f>
        <v>OK</v>
      </c>
    </row>
    <row r="34" customFormat="false" ht="15" hidden="false" customHeight="false" outlineLevel="0" collapsed="false">
      <c r="A34" s="25" t="n">
        <v>46293</v>
      </c>
      <c r="B34" s="21" t="s">
        <v>77</v>
      </c>
      <c r="C34" s="21" t="s">
        <v>90</v>
      </c>
      <c r="D34" s="21" t="s">
        <v>74</v>
      </c>
      <c r="E34" s="26" t="n">
        <v>3680</v>
      </c>
      <c r="F34" s="26" t="n">
        <v>26</v>
      </c>
      <c r="G34" s="26" t="n">
        <v>0</v>
      </c>
      <c r="H34" s="23" t="n">
        <v>44</v>
      </c>
      <c r="I34" s="10" t="n">
        <f aca="false">IF($C34="","",G34*H34)</f>
        <v>0</v>
      </c>
      <c r="J34" s="11" t="n">
        <f aca="false">IF(AND($C34&lt;&gt;"",E34&gt;0),F34/E34,"")</f>
        <v>0.00706521739130435</v>
      </c>
      <c r="K34" s="11" t="n">
        <f aca="false">IF(AND($C34&lt;&gt;"",F34&gt;0),G34/F34,"")</f>
        <v>0</v>
      </c>
      <c r="L34" s="12" t="n">
        <f aca="false">IF(AND($C34&lt;&gt;"",F34&gt;0),I34/F34,"")</f>
        <v>0</v>
      </c>
      <c r="M34" s="27" t="str">
        <f aca="false">IF($C34="","",IF(OR(F34=0,F34&lt;Settings!$B$5),"Need more data",IF(AND(K34&gt;=Settings!$B$6,L34&gt;=Settings!$B$7),"Keep",IF(AND(K34&lt;Settings!$B$6,L34&lt;Settings!$B$7),"Drop","Watch"))))</f>
        <v>Need more data</v>
      </c>
      <c r="N34" s="27" t="str">
        <f aca="false">IF($C34="","",IF(OR(F34&gt;E34,G34&gt;F34,E34&lt;0,F34&lt;0,G34&lt;0,H34&lt;0),"Check numbers","OK"))</f>
        <v>OK</v>
      </c>
    </row>
    <row r="35" customFormat="false" ht="15" hidden="false" customHeight="false" outlineLevel="0" collapsed="false">
      <c r="A35" s="25"/>
      <c r="B35" s="21"/>
      <c r="C35" s="21"/>
      <c r="D35" s="21"/>
      <c r="E35" s="26"/>
      <c r="F35" s="26"/>
      <c r="G35" s="26"/>
      <c r="H35" s="23"/>
      <c r="I35" s="10" t="str">
        <f aca="false">IF($C35="","",G35*H35)</f>
        <v/>
      </c>
      <c r="J35" s="11" t="str">
        <f aca="false">IF(AND($C35&lt;&gt;"",E35&gt;0),F35/E35,"")</f>
        <v/>
      </c>
      <c r="K35" s="11" t="str">
        <f aca="false">IF(AND($C35&lt;&gt;"",F35&gt;0),G35/F35,"")</f>
        <v/>
      </c>
      <c r="L35" s="12" t="str">
        <f aca="false">IF(AND($C35&lt;&gt;"",F35&gt;0),I35/F35,"")</f>
        <v/>
      </c>
      <c r="M35" s="27" t="str">
        <f aca="false">IF($C35="","",IF(OR(F35=0,F35&lt;Settings!$B$5),"Need more data",IF(AND(K35&gt;=Settings!$B$6,L35&gt;=Settings!$B$7),"Keep",IF(AND(K35&lt;Settings!$B$6,L35&lt;Settings!$B$7),"Drop","Watch"))))</f>
        <v/>
      </c>
      <c r="N35" s="27" t="str">
        <f aca="false">IF($C35="","",IF(OR(F35&gt;E35,G35&gt;F35,E35&lt;0,F35&lt;0,G35&lt;0,H35&lt;0),"Check numbers","OK"))</f>
        <v/>
      </c>
    </row>
    <row r="36" customFormat="false" ht="15" hidden="false" customHeight="false" outlineLevel="0" collapsed="false">
      <c r="A36" s="25"/>
      <c r="B36" s="21"/>
      <c r="C36" s="21"/>
      <c r="D36" s="21"/>
      <c r="E36" s="26"/>
      <c r="F36" s="26"/>
      <c r="G36" s="26"/>
      <c r="H36" s="23"/>
      <c r="I36" s="10" t="str">
        <f aca="false">IF($C36="","",G36*H36)</f>
        <v/>
      </c>
      <c r="J36" s="11" t="str">
        <f aca="false">IF(AND($C36&lt;&gt;"",E36&gt;0),F36/E36,"")</f>
        <v/>
      </c>
      <c r="K36" s="11" t="str">
        <f aca="false">IF(AND($C36&lt;&gt;"",F36&gt;0),G36/F36,"")</f>
        <v/>
      </c>
      <c r="L36" s="12" t="str">
        <f aca="false">IF(AND($C36&lt;&gt;"",F36&gt;0),I36/F36,"")</f>
        <v/>
      </c>
      <c r="M36" s="27" t="str">
        <f aca="false">IF($C36="","",IF(OR(F36=0,F36&lt;Settings!$B$5),"Need more data",IF(AND(K36&gt;=Settings!$B$6,L36&gt;=Settings!$B$7),"Keep",IF(AND(K36&lt;Settings!$B$6,L36&lt;Settings!$B$7),"Drop","Watch"))))</f>
        <v/>
      </c>
      <c r="N36" s="27" t="str">
        <f aca="false">IF($C36="","",IF(OR(F36&gt;E36,G36&gt;F36,E36&lt;0,F36&lt;0,G36&lt;0,H36&lt;0),"Check numbers","OK"))</f>
        <v/>
      </c>
    </row>
    <row r="37" customFormat="false" ht="15" hidden="false" customHeight="false" outlineLevel="0" collapsed="false">
      <c r="A37" s="25"/>
      <c r="B37" s="21"/>
      <c r="C37" s="21"/>
      <c r="D37" s="21"/>
      <c r="E37" s="26"/>
      <c r="F37" s="26"/>
      <c r="G37" s="26"/>
      <c r="H37" s="23"/>
      <c r="I37" s="10" t="str">
        <f aca="false">IF($C37="","",G37*H37)</f>
        <v/>
      </c>
      <c r="J37" s="11" t="str">
        <f aca="false">IF(AND($C37&lt;&gt;"",E37&gt;0),F37/E37,"")</f>
        <v/>
      </c>
      <c r="K37" s="11" t="str">
        <f aca="false">IF(AND($C37&lt;&gt;"",F37&gt;0),G37/F37,"")</f>
        <v/>
      </c>
      <c r="L37" s="12" t="str">
        <f aca="false">IF(AND($C37&lt;&gt;"",F37&gt;0),I37/F37,"")</f>
        <v/>
      </c>
      <c r="M37" s="27" t="str">
        <f aca="false">IF($C37="","",IF(OR(F37=0,F37&lt;Settings!$B$5),"Need more data",IF(AND(K37&gt;=Settings!$B$6,L37&gt;=Settings!$B$7),"Keep",IF(AND(K37&lt;Settings!$B$6,L37&lt;Settings!$B$7),"Drop","Watch"))))</f>
        <v/>
      </c>
      <c r="N37" s="27" t="str">
        <f aca="false">IF($C37="","",IF(OR(F37&gt;E37,G37&gt;F37,E37&lt;0,F37&lt;0,G37&lt;0,H37&lt;0),"Check numbers","OK"))</f>
        <v/>
      </c>
    </row>
    <row r="38" customFormat="false" ht="15" hidden="false" customHeight="false" outlineLevel="0" collapsed="false">
      <c r="A38" s="25"/>
      <c r="B38" s="21"/>
      <c r="C38" s="21"/>
      <c r="D38" s="21"/>
      <c r="E38" s="26"/>
      <c r="F38" s="26"/>
      <c r="G38" s="26"/>
      <c r="H38" s="23"/>
      <c r="I38" s="10" t="str">
        <f aca="false">IF($C38="","",G38*H38)</f>
        <v/>
      </c>
      <c r="J38" s="11" t="str">
        <f aca="false">IF(AND($C38&lt;&gt;"",E38&gt;0),F38/E38,"")</f>
        <v/>
      </c>
      <c r="K38" s="11" t="str">
        <f aca="false">IF(AND($C38&lt;&gt;"",F38&gt;0),G38/F38,"")</f>
        <v/>
      </c>
      <c r="L38" s="12" t="str">
        <f aca="false">IF(AND($C38&lt;&gt;"",F38&gt;0),I38/F38,"")</f>
        <v/>
      </c>
      <c r="M38" s="27" t="str">
        <f aca="false">IF($C38="","",IF(OR(F38=0,F38&lt;Settings!$B$5),"Need more data",IF(AND(K38&gt;=Settings!$B$6,L38&gt;=Settings!$B$7),"Keep",IF(AND(K38&lt;Settings!$B$6,L38&lt;Settings!$B$7),"Drop","Watch"))))</f>
        <v/>
      </c>
      <c r="N38" s="27" t="str">
        <f aca="false">IF($C38="","",IF(OR(F38&gt;E38,G38&gt;F38,E38&lt;0,F38&lt;0,G38&lt;0,H38&lt;0),"Check numbers","OK"))</f>
        <v/>
      </c>
    </row>
    <row r="39" customFormat="false" ht="15" hidden="false" customHeight="false" outlineLevel="0" collapsed="false">
      <c r="A39" s="25"/>
      <c r="B39" s="21"/>
      <c r="C39" s="21"/>
      <c r="D39" s="21"/>
      <c r="E39" s="26"/>
      <c r="F39" s="26"/>
      <c r="G39" s="26"/>
      <c r="H39" s="23"/>
      <c r="I39" s="10" t="str">
        <f aca="false">IF($C39="","",G39*H39)</f>
        <v/>
      </c>
      <c r="J39" s="11" t="str">
        <f aca="false">IF(AND($C39&lt;&gt;"",E39&gt;0),F39/E39,"")</f>
        <v/>
      </c>
      <c r="K39" s="11" t="str">
        <f aca="false">IF(AND($C39&lt;&gt;"",F39&gt;0),G39/F39,"")</f>
        <v/>
      </c>
      <c r="L39" s="12" t="str">
        <f aca="false">IF(AND($C39&lt;&gt;"",F39&gt;0),I39/F39,"")</f>
        <v/>
      </c>
      <c r="M39" s="27" t="str">
        <f aca="false">IF($C39="","",IF(OR(F39=0,F39&lt;Settings!$B$5),"Need more data",IF(AND(K39&gt;=Settings!$B$6,L39&gt;=Settings!$B$7),"Keep",IF(AND(K39&lt;Settings!$B$6,L39&lt;Settings!$B$7),"Drop","Watch"))))</f>
        <v/>
      </c>
      <c r="N39" s="27" t="str">
        <f aca="false">IF($C39="","",IF(OR(F39&gt;E39,G39&gt;F39,E39&lt;0,F39&lt;0,G39&lt;0,H39&lt;0),"Check numbers","OK"))</f>
        <v/>
      </c>
    </row>
    <row r="40" customFormat="false" ht="15" hidden="false" customHeight="false" outlineLevel="0" collapsed="false">
      <c r="A40" s="25"/>
      <c r="B40" s="21"/>
      <c r="C40" s="21"/>
      <c r="D40" s="21"/>
      <c r="E40" s="26"/>
      <c r="F40" s="26"/>
      <c r="G40" s="26"/>
      <c r="H40" s="23"/>
      <c r="I40" s="10" t="str">
        <f aca="false">IF($C40="","",G40*H40)</f>
        <v/>
      </c>
      <c r="J40" s="11" t="str">
        <f aca="false">IF(AND($C40&lt;&gt;"",E40&gt;0),F40/E40,"")</f>
        <v/>
      </c>
      <c r="K40" s="11" t="str">
        <f aca="false">IF(AND($C40&lt;&gt;"",F40&gt;0),G40/F40,"")</f>
        <v/>
      </c>
      <c r="L40" s="12" t="str">
        <f aca="false">IF(AND($C40&lt;&gt;"",F40&gt;0),I40/F40,"")</f>
        <v/>
      </c>
      <c r="M40" s="27" t="str">
        <f aca="false">IF($C40="","",IF(OR(F40=0,F40&lt;Settings!$B$5),"Need more data",IF(AND(K40&gt;=Settings!$B$6,L40&gt;=Settings!$B$7),"Keep",IF(AND(K40&lt;Settings!$B$6,L40&lt;Settings!$B$7),"Drop","Watch"))))</f>
        <v/>
      </c>
      <c r="N40" s="27" t="str">
        <f aca="false">IF($C40="","",IF(OR(F40&gt;E40,G40&gt;F40,E40&lt;0,F40&lt;0,G40&lt;0,H40&lt;0),"Check numbers","OK"))</f>
        <v/>
      </c>
    </row>
    <row r="41" customFormat="false" ht="15" hidden="false" customHeight="false" outlineLevel="0" collapsed="false">
      <c r="A41" s="25"/>
      <c r="B41" s="21"/>
      <c r="C41" s="21"/>
      <c r="D41" s="21"/>
      <c r="E41" s="26"/>
      <c r="F41" s="26"/>
      <c r="G41" s="26"/>
      <c r="H41" s="23"/>
      <c r="I41" s="10" t="str">
        <f aca="false">IF($C41="","",G41*H41)</f>
        <v/>
      </c>
      <c r="J41" s="11" t="str">
        <f aca="false">IF(AND($C41&lt;&gt;"",E41&gt;0),F41/E41,"")</f>
        <v/>
      </c>
      <c r="K41" s="11" t="str">
        <f aca="false">IF(AND($C41&lt;&gt;"",F41&gt;0),G41/F41,"")</f>
        <v/>
      </c>
      <c r="L41" s="12" t="str">
        <f aca="false">IF(AND($C41&lt;&gt;"",F41&gt;0),I41/F41,"")</f>
        <v/>
      </c>
      <c r="M41" s="27" t="str">
        <f aca="false">IF($C41="","",IF(OR(F41=0,F41&lt;Settings!$B$5),"Need more data",IF(AND(K41&gt;=Settings!$B$6,L41&gt;=Settings!$B$7),"Keep",IF(AND(K41&lt;Settings!$B$6,L41&lt;Settings!$B$7),"Drop","Watch"))))</f>
        <v/>
      </c>
      <c r="N41" s="27" t="str">
        <f aca="false">IF($C41="","",IF(OR(F41&gt;E41,G41&gt;F41,E41&lt;0,F41&lt;0,G41&lt;0,H41&lt;0),"Check numbers","OK"))</f>
        <v/>
      </c>
    </row>
    <row r="42" customFormat="false" ht="15" hidden="false" customHeight="false" outlineLevel="0" collapsed="false">
      <c r="A42" s="25"/>
      <c r="B42" s="21"/>
      <c r="C42" s="21"/>
      <c r="D42" s="21"/>
      <c r="E42" s="26"/>
      <c r="F42" s="26"/>
      <c r="G42" s="26"/>
      <c r="H42" s="23"/>
      <c r="I42" s="10" t="str">
        <f aca="false">IF($C42="","",G42*H42)</f>
        <v/>
      </c>
      <c r="J42" s="11" t="str">
        <f aca="false">IF(AND($C42&lt;&gt;"",E42&gt;0),F42/E42,"")</f>
        <v/>
      </c>
      <c r="K42" s="11" t="str">
        <f aca="false">IF(AND($C42&lt;&gt;"",F42&gt;0),G42/F42,"")</f>
        <v/>
      </c>
      <c r="L42" s="12" t="str">
        <f aca="false">IF(AND($C42&lt;&gt;"",F42&gt;0),I42/F42,"")</f>
        <v/>
      </c>
      <c r="M42" s="27" t="str">
        <f aca="false">IF($C42="","",IF(OR(F42=0,F42&lt;Settings!$B$5),"Need more data",IF(AND(K42&gt;=Settings!$B$6,L42&gt;=Settings!$B$7),"Keep",IF(AND(K42&lt;Settings!$B$6,L42&lt;Settings!$B$7),"Drop","Watch"))))</f>
        <v/>
      </c>
      <c r="N42" s="27" t="str">
        <f aca="false">IF($C42="","",IF(OR(F42&gt;E42,G42&gt;F42,E42&lt;0,F42&lt;0,G42&lt;0,H42&lt;0),"Check numbers","OK"))</f>
        <v/>
      </c>
    </row>
    <row r="43" customFormat="false" ht="15" hidden="false" customHeight="false" outlineLevel="0" collapsed="false">
      <c r="A43" s="25"/>
      <c r="B43" s="21"/>
      <c r="C43" s="21"/>
      <c r="D43" s="21"/>
      <c r="E43" s="26"/>
      <c r="F43" s="26"/>
      <c r="G43" s="26"/>
      <c r="H43" s="23"/>
      <c r="I43" s="10" t="str">
        <f aca="false">IF($C43="","",G43*H43)</f>
        <v/>
      </c>
      <c r="J43" s="11" t="str">
        <f aca="false">IF(AND($C43&lt;&gt;"",E43&gt;0),F43/E43,"")</f>
        <v/>
      </c>
      <c r="K43" s="11" t="str">
        <f aca="false">IF(AND($C43&lt;&gt;"",F43&gt;0),G43/F43,"")</f>
        <v/>
      </c>
      <c r="L43" s="12" t="str">
        <f aca="false">IF(AND($C43&lt;&gt;"",F43&gt;0),I43/F43,"")</f>
        <v/>
      </c>
      <c r="M43" s="27" t="str">
        <f aca="false">IF($C43="","",IF(OR(F43=0,F43&lt;Settings!$B$5),"Need more data",IF(AND(K43&gt;=Settings!$B$6,L43&gt;=Settings!$B$7),"Keep",IF(AND(K43&lt;Settings!$B$6,L43&lt;Settings!$B$7),"Drop","Watch"))))</f>
        <v/>
      </c>
      <c r="N43" s="27" t="str">
        <f aca="false">IF($C43="","",IF(OR(F43&gt;E43,G43&gt;F43,E43&lt;0,F43&lt;0,G43&lt;0,H43&lt;0),"Check numbers","OK"))</f>
        <v/>
      </c>
    </row>
    <row r="44" customFormat="false" ht="15" hidden="false" customHeight="false" outlineLevel="0" collapsed="false">
      <c r="A44" s="25"/>
      <c r="B44" s="21"/>
      <c r="C44" s="21"/>
      <c r="D44" s="21"/>
      <c r="E44" s="26"/>
      <c r="F44" s="26"/>
      <c r="G44" s="26"/>
      <c r="H44" s="23"/>
      <c r="I44" s="10" t="str">
        <f aca="false">IF($C44="","",G44*H44)</f>
        <v/>
      </c>
      <c r="J44" s="11" t="str">
        <f aca="false">IF(AND($C44&lt;&gt;"",E44&gt;0),F44/E44,"")</f>
        <v/>
      </c>
      <c r="K44" s="11" t="str">
        <f aca="false">IF(AND($C44&lt;&gt;"",F44&gt;0),G44/F44,"")</f>
        <v/>
      </c>
      <c r="L44" s="12" t="str">
        <f aca="false">IF(AND($C44&lt;&gt;"",F44&gt;0),I44/F44,"")</f>
        <v/>
      </c>
      <c r="M44" s="27" t="str">
        <f aca="false">IF($C44="","",IF(OR(F44=0,F44&lt;Settings!$B$5),"Need more data",IF(AND(K44&gt;=Settings!$B$6,L44&gt;=Settings!$B$7),"Keep",IF(AND(K44&lt;Settings!$B$6,L44&lt;Settings!$B$7),"Drop","Watch"))))</f>
        <v/>
      </c>
      <c r="N44" s="27" t="str">
        <f aca="false">IF($C44="","",IF(OR(F44&gt;E44,G44&gt;F44,E44&lt;0,F44&lt;0,G44&lt;0,H44&lt;0),"Check numbers","OK"))</f>
        <v/>
      </c>
    </row>
    <row r="45" customFormat="false" ht="15" hidden="false" customHeight="false" outlineLevel="0" collapsed="false">
      <c r="A45" s="25"/>
      <c r="B45" s="21"/>
      <c r="C45" s="21"/>
      <c r="D45" s="21"/>
      <c r="E45" s="26"/>
      <c r="F45" s="26"/>
      <c r="G45" s="26"/>
      <c r="H45" s="23"/>
      <c r="I45" s="10" t="str">
        <f aca="false">IF($C45="","",G45*H45)</f>
        <v/>
      </c>
      <c r="J45" s="11" t="str">
        <f aca="false">IF(AND($C45&lt;&gt;"",E45&gt;0),F45/E45,"")</f>
        <v/>
      </c>
      <c r="K45" s="11" t="str">
        <f aca="false">IF(AND($C45&lt;&gt;"",F45&gt;0),G45/F45,"")</f>
        <v/>
      </c>
      <c r="L45" s="12" t="str">
        <f aca="false">IF(AND($C45&lt;&gt;"",F45&gt;0),I45/F45,"")</f>
        <v/>
      </c>
      <c r="M45" s="27" t="str">
        <f aca="false">IF($C45="","",IF(OR(F45=0,F45&lt;Settings!$B$5),"Need more data",IF(AND(K45&gt;=Settings!$B$6,L45&gt;=Settings!$B$7),"Keep",IF(AND(K45&lt;Settings!$B$6,L45&lt;Settings!$B$7),"Drop","Watch"))))</f>
        <v/>
      </c>
      <c r="N45" s="27" t="str">
        <f aca="false">IF($C45="","",IF(OR(F45&gt;E45,G45&gt;F45,E45&lt;0,F45&lt;0,G45&lt;0,H45&lt;0),"Check numbers","OK"))</f>
        <v/>
      </c>
    </row>
    <row r="46" customFormat="false" ht="15" hidden="false" customHeight="false" outlineLevel="0" collapsed="false">
      <c r="A46" s="25"/>
      <c r="B46" s="21"/>
      <c r="C46" s="21"/>
      <c r="D46" s="21"/>
      <c r="E46" s="26"/>
      <c r="F46" s="26"/>
      <c r="G46" s="26"/>
      <c r="H46" s="23"/>
      <c r="I46" s="10" t="str">
        <f aca="false">IF($C46="","",G46*H46)</f>
        <v/>
      </c>
      <c r="J46" s="11" t="str">
        <f aca="false">IF(AND($C46&lt;&gt;"",E46&gt;0),F46/E46,"")</f>
        <v/>
      </c>
      <c r="K46" s="11" t="str">
        <f aca="false">IF(AND($C46&lt;&gt;"",F46&gt;0),G46/F46,"")</f>
        <v/>
      </c>
      <c r="L46" s="12" t="str">
        <f aca="false">IF(AND($C46&lt;&gt;"",F46&gt;0),I46/F46,"")</f>
        <v/>
      </c>
      <c r="M46" s="27" t="str">
        <f aca="false">IF($C46="","",IF(OR(F46=0,F46&lt;Settings!$B$5),"Need more data",IF(AND(K46&gt;=Settings!$B$6,L46&gt;=Settings!$B$7),"Keep",IF(AND(K46&lt;Settings!$B$6,L46&lt;Settings!$B$7),"Drop","Watch"))))</f>
        <v/>
      </c>
      <c r="N46" s="27" t="str">
        <f aca="false">IF($C46="","",IF(OR(F46&gt;E46,G46&gt;F46,E46&lt;0,F46&lt;0,G46&lt;0,H46&lt;0),"Check numbers","OK"))</f>
        <v/>
      </c>
    </row>
    <row r="47" customFormat="false" ht="15" hidden="false" customHeight="false" outlineLevel="0" collapsed="false">
      <c r="A47" s="25"/>
      <c r="B47" s="21"/>
      <c r="C47" s="21"/>
      <c r="D47" s="21"/>
      <c r="E47" s="26"/>
      <c r="F47" s="26"/>
      <c r="G47" s="26"/>
      <c r="H47" s="23"/>
      <c r="I47" s="10" t="str">
        <f aca="false">IF($C47="","",G47*H47)</f>
        <v/>
      </c>
      <c r="J47" s="11" t="str">
        <f aca="false">IF(AND($C47&lt;&gt;"",E47&gt;0),F47/E47,"")</f>
        <v/>
      </c>
      <c r="K47" s="11" t="str">
        <f aca="false">IF(AND($C47&lt;&gt;"",F47&gt;0),G47/F47,"")</f>
        <v/>
      </c>
      <c r="L47" s="12" t="str">
        <f aca="false">IF(AND($C47&lt;&gt;"",F47&gt;0),I47/F47,"")</f>
        <v/>
      </c>
      <c r="M47" s="27" t="str">
        <f aca="false">IF($C47="","",IF(OR(F47=0,F47&lt;Settings!$B$5),"Need more data",IF(AND(K47&gt;=Settings!$B$6,L47&gt;=Settings!$B$7),"Keep",IF(AND(K47&lt;Settings!$B$6,L47&lt;Settings!$B$7),"Drop","Watch"))))</f>
        <v/>
      </c>
      <c r="N47" s="27" t="str">
        <f aca="false">IF($C47="","",IF(OR(F47&gt;E47,G47&gt;F47,E47&lt;0,F47&lt;0,G47&lt;0,H47&lt;0),"Check numbers","OK"))</f>
        <v/>
      </c>
    </row>
    <row r="48" customFormat="false" ht="15" hidden="false" customHeight="false" outlineLevel="0" collapsed="false">
      <c r="A48" s="25"/>
      <c r="B48" s="21"/>
      <c r="C48" s="21"/>
      <c r="D48" s="21"/>
      <c r="E48" s="26"/>
      <c r="F48" s="26"/>
      <c r="G48" s="26"/>
      <c r="H48" s="23"/>
      <c r="I48" s="10" t="str">
        <f aca="false">IF($C48="","",G48*H48)</f>
        <v/>
      </c>
      <c r="J48" s="11" t="str">
        <f aca="false">IF(AND($C48&lt;&gt;"",E48&gt;0),F48/E48,"")</f>
        <v/>
      </c>
      <c r="K48" s="11" t="str">
        <f aca="false">IF(AND($C48&lt;&gt;"",F48&gt;0),G48/F48,"")</f>
        <v/>
      </c>
      <c r="L48" s="12" t="str">
        <f aca="false">IF(AND($C48&lt;&gt;"",F48&gt;0),I48/F48,"")</f>
        <v/>
      </c>
      <c r="M48" s="27" t="str">
        <f aca="false">IF($C48="","",IF(OR(F48=0,F48&lt;Settings!$B$5),"Need more data",IF(AND(K48&gt;=Settings!$B$6,L48&gt;=Settings!$B$7),"Keep",IF(AND(K48&lt;Settings!$B$6,L48&lt;Settings!$B$7),"Drop","Watch"))))</f>
        <v/>
      </c>
      <c r="N48" s="27" t="str">
        <f aca="false">IF($C48="","",IF(OR(F48&gt;E48,G48&gt;F48,E48&lt;0,F48&lt;0,G48&lt;0,H48&lt;0),"Check numbers","OK"))</f>
        <v/>
      </c>
    </row>
    <row r="49" customFormat="false" ht="15" hidden="false" customHeight="false" outlineLevel="0" collapsed="false">
      <c r="A49" s="25"/>
      <c r="B49" s="21"/>
      <c r="C49" s="21"/>
      <c r="D49" s="21"/>
      <c r="E49" s="26"/>
      <c r="F49" s="26"/>
      <c r="G49" s="26"/>
      <c r="H49" s="23"/>
      <c r="I49" s="10" t="str">
        <f aca="false">IF($C49="","",G49*H49)</f>
        <v/>
      </c>
      <c r="J49" s="11" t="str">
        <f aca="false">IF(AND($C49&lt;&gt;"",E49&gt;0),F49/E49,"")</f>
        <v/>
      </c>
      <c r="K49" s="11" t="str">
        <f aca="false">IF(AND($C49&lt;&gt;"",F49&gt;0),G49/F49,"")</f>
        <v/>
      </c>
      <c r="L49" s="12" t="str">
        <f aca="false">IF(AND($C49&lt;&gt;"",F49&gt;0),I49/F49,"")</f>
        <v/>
      </c>
      <c r="M49" s="27" t="str">
        <f aca="false">IF($C49="","",IF(OR(F49=0,F49&lt;Settings!$B$5),"Need more data",IF(AND(K49&gt;=Settings!$B$6,L49&gt;=Settings!$B$7),"Keep",IF(AND(K49&lt;Settings!$B$6,L49&lt;Settings!$B$7),"Drop","Watch"))))</f>
        <v/>
      </c>
      <c r="N49" s="27" t="str">
        <f aca="false">IF($C49="","",IF(OR(F49&gt;E49,G49&gt;F49,E49&lt;0,F49&lt;0,G49&lt;0,H49&lt;0),"Check numbers","OK"))</f>
        <v/>
      </c>
    </row>
    <row r="50" customFormat="false" ht="15" hidden="false" customHeight="false" outlineLevel="0" collapsed="false">
      <c r="A50" s="25"/>
      <c r="B50" s="21"/>
      <c r="C50" s="21"/>
      <c r="D50" s="21"/>
      <c r="E50" s="26"/>
      <c r="F50" s="26"/>
      <c r="G50" s="26"/>
      <c r="H50" s="23"/>
      <c r="I50" s="10" t="str">
        <f aca="false">IF($C50="","",G50*H50)</f>
        <v/>
      </c>
      <c r="J50" s="11" t="str">
        <f aca="false">IF(AND($C50&lt;&gt;"",E50&gt;0),F50/E50,"")</f>
        <v/>
      </c>
      <c r="K50" s="11" t="str">
        <f aca="false">IF(AND($C50&lt;&gt;"",F50&gt;0),G50/F50,"")</f>
        <v/>
      </c>
      <c r="L50" s="12" t="str">
        <f aca="false">IF(AND($C50&lt;&gt;"",F50&gt;0),I50/F50,"")</f>
        <v/>
      </c>
      <c r="M50" s="27" t="str">
        <f aca="false">IF($C50="","",IF(OR(F50=0,F50&lt;Settings!$B$5),"Need more data",IF(AND(K50&gt;=Settings!$B$6,L50&gt;=Settings!$B$7),"Keep",IF(AND(K50&lt;Settings!$B$6,L50&lt;Settings!$B$7),"Drop","Watch"))))</f>
        <v/>
      </c>
      <c r="N50" s="27" t="str">
        <f aca="false">IF($C50="","",IF(OR(F50&gt;E50,G50&gt;F50,E50&lt;0,F50&lt;0,G50&lt;0,H50&lt;0),"Check numbers","OK"))</f>
        <v/>
      </c>
    </row>
    <row r="51" customFormat="false" ht="15" hidden="false" customHeight="false" outlineLevel="0" collapsed="false">
      <c r="A51" s="25"/>
      <c r="B51" s="21"/>
      <c r="C51" s="21"/>
      <c r="D51" s="21"/>
      <c r="E51" s="26"/>
      <c r="F51" s="26"/>
      <c r="G51" s="26"/>
      <c r="H51" s="23"/>
      <c r="I51" s="10" t="str">
        <f aca="false">IF($C51="","",G51*H51)</f>
        <v/>
      </c>
      <c r="J51" s="11" t="str">
        <f aca="false">IF(AND($C51&lt;&gt;"",E51&gt;0),F51/E51,"")</f>
        <v/>
      </c>
      <c r="K51" s="11" t="str">
        <f aca="false">IF(AND($C51&lt;&gt;"",F51&gt;0),G51/F51,"")</f>
        <v/>
      </c>
      <c r="L51" s="12" t="str">
        <f aca="false">IF(AND($C51&lt;&gt;"",F51&gt;0),I51/F51,"")</f>
        <v/>
      </c>
      <c r="M51" s="27" t="str">
        <f aca="false">IF($C51="","",IF(OR(F51=0,F51&lt;Settings!$B$5),"Need more data",IF(AND(K51&gt;=Settings!$B$6,L51&gt;=Settings!$B$7),"Keep",IF(AND(K51&lt;Settings!$B$6,L51&lt;Settings!$B$7),"Drop","Watch"))))</f>
        <v/>
      </c>
      <c r="N51" s="27" t="str">
        <f aca="false">IF($C51="","",IF(OR(F51&gt;E51,G51&gt;F51,E51&lt;0,F51&lt;0,G51&lt;0,H51&lt;0),"Check numbers","OK"))</f>
        <v/>
      </c>
    </row>
    <row r="52" customFormat="false" ht="15" hidden="false" customHeight="false" outlineLevel="0" collapsed="false">
      <c r="A52" s="25"/>
      <c r="B52" s="21"/>
      <c r="C52" s="21"/>
      <c r="D52" s="21"/>
      <c r="E52" s="26"/>
      <c r="F52" s="26"/>
      <c r="G52" s="26"/>
      <c r="H52" s="23"/>
      <c r="I52" s="10" t="str">
        <f aca="false">IF($C52="","",G52*H52)</f>
        <v/>
      </c>
      <c r="J52" s="11" t="str">
        <f aca="false">IF(AND($C52&lt;&gt;"",E52&gt;0),F52/E52,"")</f>
        <v/>
      </c>
      <c r="K52" s="11" t="str">
        <f aca="false">IF(AND($C52&lt;&gt;"",F52&gt;0),G52/F52,"")</f>
        <v/>
      </c>
      <c r="L52" s="12" t="str">
        <f aca="false">IF(AND($C52&lt;&gt;"",F52&gt;0),I52/F52,"")</f>
        <v/>
      </c>
      <c r="M52" s="27" t="str">
        <f aca="false">IF($C52="","",IF(OR(F52=0,F52&lt;Settings!$B$5),"Need more data",IF(AND(K52&gt;=Settings!$B$6,L52&gt;=Settings!$B$7),"Keep",IF(AND(K52&lt;Settings!$B$6,L52&lt;Settings!$B$7),"Drop","Watch"))))</f>
        <v/>
      </c>
      <c r="N52" s="27" t="str">
        <f aca="false">IF($C52="","",IF(OR(F52&gt;E52,G52&gt;F52,E52&lt;0,F52&lt;0,G52&lt;0,H52&lt;0),"Check numbers","OK"))</f>
        <v/>
      </c>
    </row>
    <row r="53" customFormat="false" ht="15" hidden="false" customHeight="false" outlineLevel="0" collapsed="false">
      <c r="A53" s="25"/>
      <c r="B53" s="21"/>
      <c r="C53" s="21"/>
      <c r="D53" s="21"/>
      <c r="E53" s="26"/>
      <c r="F53" s="26"/>
      <c r="G53" s="26"/>
      <c r="H53" s="23"/>
      <c r="I53" s="10" t="str">
        <f aca="false">IF($C53="","",G53*H53)</f>
        <v/>
      </c>
      <c r="J53" s="11" t="str">
        <f aca="false">IF(AND($C53&lt;&gt;"",E53&gt;0),F53/E53,"")</f>
        <v/>
      </c>
      <c r="K53" s="11" t="str">
        <f aca="false">IF(AND($C53&lt;&gt;"",F53&gt;0),G53/F53,"")</f>
        <v/>
      </c>
      <c r="L53" s="12" t="str">
        <f aca="false">IF(AND($C53&lt;&gt;"",F53&gt;0),I53/F53,"")</f>
        <v/>
      </c>
      <c r="M53" s="27" t="str">
        <f aca="false">IF($C53="","",IF(OR(F53=0,F53&lt;Settings!$B$5),"Need more data",IF(AND(K53&gt;=Settings!$B$6,L53&gt;=Settings!$B$7),"Keep",IF(AND(K53&lt;Settings!$B$6,L53&lt;Settings!$B$7),"Drop","Watch"))))</f>
        <v/>
      </c>
      <c r="N53" s="27" t="str">
        <f aca="false">IF($C53="","",IF(OR(F53&gt;E53,G53&gt;F53,E53&lt;0,F53&lt;0,G53&lt;0,H53&lt;0),"Check numbers","OK"))</f>
        <v/>
      </c>
    </row>
    <row r="54" customFormat="false" ht="15" hidden="false" customHeight="false" outlineLevel="0" collapsed="false">
      <c r="A54" s="25"/>
      <c r="B54" s="21"/>
      <c r="C54" s="21"/>
      <c r="D54" s="21"/>
      <c r="E54" s="26"/>
      <c r="F54" s="26"/>
      <c r="G54" s="26"/>
      <c r="H54" s="23"/>
      <c r="I54" s="10" t="str">
        <f aca="false">IF($C54="","",G54*H54)</f>
        <v/>
      </c>
      <c r="J54" s="11" t="str">
        <f aca="false">IF(AND($C54&lt;&gt;"",E54&gt;0),F54/E54,"")</f>
        <v/>
      </c>
      <c r="K54" s="11" t="str">
        <f aca="false">IF(AND($C54&lt;&gt;"",F54&gt;0),G54/F54,"")</f>
        <v/>
      </c>
      <c r="L54" s="12" t="str">
        <f aca="false">IF(AND($C54&lt;&gt;"",F54&gt;0),I54/F54,"")</f>
        <v/>
      </c>
      <c r="M54" s="27" t="str">
        <f aca="false">IF($C54="","",IF(OR(F54=0,F54&lt;Settings!$B$5),"Need more data",IF(AND(K54&gt;=Settings!$B$6,L54&gt;=Settings!$B$7),"Keep",IF(AND(K54&lt;Settings!$B$6,L54&lt;Settings!$B$7),"Drop","Watch"))))</f>
        <v/>
      </c>
      <c r="N54" s="27" t="str">
        <f aca="false">IF($C54="","",IF(OR(F54&gt;E54,G54&gt;F54,E54&lt;0,F54&lt;0,G54&lt;0,H54&lt;0),"Check numbers","OK"))</f>
        <v/>
      </c>
    </row>
    <row r="55" customFormat="false" ht="15" hidden="false" customHeight="false" outlineLevel="0" collapsed="false">
      <c r="A55" s="25"/>
      <c r="B55" s="21"/>
      <c r="C55" s="21"/>
      <c r="D55" s="21"/>
      <c r="E55" s="26"/>
      <c r="F55" s="26"/>
      <c r="G55" s="26"/>
      <c r="H55" s="23"/>
      <c r="I55" s="10" t="str">
        <f aca="false">IF($C55="","",G55*H55)</f>
        <v/>
      </c>
      <c r="J55" s="11" t="str">
        <f aca="false">IF(AND($C55&lt;&gt;"",E55&gt;0),F55/E55,"")</f>
        <v/>
      </c>
      <c r="K55" s="11" t="str">
        <f aca="false">IF(AND($C55&lt;&gt;"",F55&gt;0),G55/F55,"")</f>
        <v/>
      </c>
      <c r="L55" s="12" t="str">
        <f aca="false">IF(AND($C55&lt;&gt;"",F55&gt;0),I55/F55,"")</f>
        <v/>
      </c>
      <c r="M55" s="27" t="str">
        <f aca="false">IF($C55="","",IF(OR(F55=0,F55&lt;Settings!$B$5),"Need more data",IF(AND(K55&gt;=Settings!$B$6,L55&gt;=Settings!$B$7),"Keep",IF(AND(K55&lt;Settings!$B$6,L55&lt;Settings!$B$7),"Drop","Watch"))))</f>
        <v/>
      </c>
      <c r="N55" s="27" t="str">
        <f aca="false">IF($C55="","",IF(OR(F55&gt;E55,G55&gt;F55,E55&lt;0,F55&lt;0,G55&lt;0,H55&lt;0),"Check numbers","OK"))</f>
        <v/>
      </c>
    </row>
    <row r="56" customFormat="false" ht="15" hidden="false" customHeight="false" outlineLevel="0" collapsed="false">
      <c r="A56" s="25"/>
      <c r="B56" s="21"/>
      <c r="C56" s="21"/>
      <c r="D56" s="21"/>
      <c r="E56" s="26"/>
      <c r="F56" s="26"/>
      <c r="G56" s="26"/>
      <c r="H56" s="23"/>
      <c r="I56" s="10" t="str">
        <f aca="false">IF($C56="","",G56*H56)</f>
        <v/>
      </c>
      <c r="J56" s="11" t="str">
        <f aca="false">IF(AND($C56&lt;&gt;"",E56&gt;0),F56/E56,"")</f>
        <v/>
      </c>
      <c r="K56" s="11" t="str">
        <f aca="false">IF(AND($C56&lt;&gt;"",F56&gt;0),G56/F56,"")</f>
        <v/>
      </c>
      <c r="L56" s="12" t="str">
        <f aca="false">IF(AND($C56&lt;&gt;"",F56&gt;0),I56/F56,"")</f>
        <v/>
      </c>
      <c r="M56" s="27" t="str">
        <f aca="false">IF($C56="","",IF(OR(F56=0,F56&lt;Settings!$B$5),"Need more data",IF(AND(K56&gt;=Settings!$B$6,L56&gt;=Settings!$B$7),"Keep",IF(AND(K56&lt;Settings!$B$6,L56&lt;Settings!$B$7),"Drop","Watch"))))</f>
        <v/>
      </c>
      <c r="N56" s="27" t="str">
        <f aca="false">IF($C56="","",IF(OR(F56&gt;E56,G56&gt;F56,E56&lt;0,F56&lt;0,G56&lt;0,H56&lt;0),"Check numbers","OK"))</f>
        <v/>
      </c>
    </row>
    <row r="57" customFormat="false" ht="15" hidden="false" customHeight="false" outlineLevel="0" collapsed="false">
      <c r="A57" s="25"/>
      <c r="B57" s="21"/>
      <c r="C57" s="21"/>
      <c r="D57" s="21"/>
      <c r="E57" s="26"/>
      <c r="F57" s="26"/>
      <c r="G57" s="26"/>
      <c r="H57" s="23"/>
      <c r="I57" s="10" t="str">
        <f aca="false">IF($C57="","",G57*H57)</f>
        <v/>
      </c>
      <c r="J57" s="11" t="str">
        <f aca="false">IF(AND($C57&lt;&gt;"",E57&gt;0),F57/E57,"")</f>
        <v/>
      </c>
      <c r="K57" s="11" t="str">
        <f aca="false">IF(AND($C57&lt;&gt;"",F57&gt;0),G57/F57,"")</f>
        <v/>
      </c>
      <c r="L57" s="12" t="str">
        <f aca="false">IF(AND($C57&lt;&gt;"",F57&gt;0),I57/F57,"")</f>
        <v/>
      </c>
      <c r="M57" s="27" t="str">
        <f aca="false">IF($C57="","",IF(OR(F57=0,F57&lt;Settings!$B$5),"Need more data",IF(AND(K57&gt;=Settings!$B$6,L57&gt;=Settings!$B$7),"Keep",IF(AND(K57&lt;Settings!$B$6,L57&lt;Settings!$B$7),"Drop","Watch"))))</f>
        <v/>
      </c>
      <c r="N57" s="27" t="str">
        <f aca="false">IF($C57="","",IF(OR(F57&gt;E57,G57&gt;F57,E57&lt;0,F57&lt;0,G57&lt;0,H57&lt;0),"Check numbers","OK"))</f>
        <v/>
      </c>
    </row>
    <row r="58" customFormat="false" ht="15" hidden="false" customHeight="false" outlineLevel="0" collapsed="false">
      <c r="A58" s="25"/>
      <c r="B58" s="21"/>
      <c r="C58" s="21"/>
      <c r="D58" s="21"/>
      <c r="E58" s="26"/>
      <c r="F58" s="26"/>
      <c r="G58" s="26"/>
      <c r="H58" s="23"/>
      <c r="I58" s="10" t="str">
        <f aca="false">IF($C58="","",G58*H58)</f>
        <v/>
      </c>
      <c r="J58" s="11" t="str">
        <f aca="false">IF(AND($C58&lt;&gt;"",E58&gt;0),F58/E58,"")</f>
        <v/>
      </c>
      <c r="K58" s="11" t="str">
        <f aca="false">IF(AND($C58&lt;&gt;"",F58&gt;0),G58/F58,"")</f>
        <v/>
      </c>
      <c r="L58" s="12" t="str">
        <f aca="false">IF(AND($C58&lt;&gt;"",F58&gt;0),I58/F58,"")</f>
        <v/>
      </c>
      <c r="M58" s="27" t="str">
        <f aca="false">IF($C58="","",IF(OR(F58=0,F58&lt;Settings!$B$5),"Need more data",IF(AND(K58&gt;=Settings!$B$6,L58&gt;=Settings!$B$7),"Keep",IF(AND(K58&lt;Settings!$B$6,L58&lt;Settings!$B$7),"Drop","Watch"))))</f>
        <v/>
      </c>
      <c r="N58" s="27" t="str">
        <f aca="false">IF($C58="","",IF(OR(F58&gt;E58,G58&gt;F58,E58&lt;0,F58&lt;0,G58&lt;0,H58&lt;0),"Check numbers","OK"))</f>
        <v/>
      </c>
    </row>
    <row r="59" customFormat="false" ht="15" hidden="false" customHeight="false" outlineLevel="0" collapsed="false">
      <c r="A59" s="25"/>
      <c r="B59" s="21"/>
      <c r="C59" s="21"/>
      <c r="D59" s="21"/>
      <c r="E59" s="26"/>
      <c r="F59" s="26"/>
      <c r="G59" s="26"/>
      <c r="H59" s="23"/>
      <c r="I59" s="10" t="str">
        <f aca="false">IF($C59="","",G59*H59)</f>
        <v/>
      </c>
      <c r="J59" s="11" t="str">
        <f aca="false">IF(AND($C59&lt;&gt;"",E59&gt;0),F59/E59,"")</f>
        <v/>
      </c>
      <c r="K59" s="11" t="str">
        <f aca="false">IF(AND($C59&lt;&gt;"",F59&gt;0),G59/F59,"")</f>
        <v/>
      </c>
      <c r="L59" s="12" t="str">
        <f aca="false">IF(AND($C59&lt;&gt;"",F59&gt;0),I59/F59,"")</f>
        <v/>
      </c>
      <c r="M59" s="27" t="str">
        <f aca="false">IF($C59="","",IF(OR(F59=0,F59&lt;Settings!$B$5),"Need more data",IF(AND(K59&gt;=Settings!$B$6,L59&gt;=Settings!$B$7),"Keep",IF(AND(K59&lt;Settings!$B$6,L59&lt;Settings!$B$7),"Drop","Watch"))))</f>
        <v/>
      </c>
      <c r="N59" s="27" t="str">
        <f aca="false">IF($C59="","",IF(OR(F59&gt;E59,G59&gt;F59,E59&lt;0,F59&lt;0,G59&lt;0,H59&lt;0),"Check numbers","OK"))</f>
        <v/>
      </c>
    </row>
    <row r="60" customFormat="false" ht="15" hidden="false" customHeight="false" outlineLevel="0" collapsed="false">
      <c r="A60" s="25"/>
      <c r="B60" s="21"/>
      <c r="C60" s="21"/>
      <c r="D60" s="21"/>
      <c r="E60" s="26"/>
      <c r="F60" s="26"/>
      <c r="G60" s="26"/>
      <c r="H60" s="23"/>
      <c r="I60" s="10" t="str">
        <f aca="false">IF($C60="","",G60*H60)</f>
        <v/>
      </c>
      <c r="J60" s="11" t="str">
        <f aca="false">IF(AND($C60&lt;&gt;"",E60&gt;0),F60/E60,"")</f>
        <v/>
      </c>
      <c r="K60" s="11" t="str">
        <f aca="false">IF(AND($C60&lt;&gt;"",F60&gt;0),G60/F60,"")</f>
        <v/>
      </c>
      <c r="L60" s="12" t="str">
        <f aca="false">IF(AND($C60&lt;&gt;"",F60&gt;0),I60/F60,"")</f>
        <v/>
      </c>
      <c r="M60" s="27" t="str">
        <f aca="false">IF($C60="","",IF(OR(F60=0,F60&lt;Settings!$B$5),"Need more data",IF(AND(K60&gt;=Settings!$B$6,L60&gt;=Settings!$B$7),"Keep",IF(AND(K60&lt;Settings!$B$6,L60&lt;Settings!$B$7),"Drop","Watch"))))</f>
        <v/>
      </c>
      <c r="N60" s="27" t="str">
        <f aca="false">IF($C60="","",IF(OR(F60&gt;E60,G60&gt;F60,E60&lt;0,F60&lt;0,G60&lt;0,H60&lt;0),"Check numbers","OK"))</f>
        <v/>
      </c>
    </row>
    <row r="61" customFormat="false" ht="15" hidden="false" customHeight="false" outlineLevel="0" collapsed="false">
      <c r="A61" s="25"/>
      <c r="B61" s="21"/>
      <c r="C61" s="21"/>
      <c r="D61" s="21"/>
      <c r="E61" s="26"/>
      <c r="F61" s="26"/>
      <c r="G61" s="26"/>
      <c r="H61" s="23"/>
      <c r="I61" s="10" t="str">
        <f aca="false">IF($C61="","",G61*H61)</f>
        <v/>
      </c>
      <c r="J61" s="11" t="str">
        <f aca="false">IF(AND($C61&lt;&gt;"",E61&gt;0),F61/E61,"")</f>
        <v/>
      </c>
      <c r="K61" s="11" t="str">
        <f aca="false">IF(AND($C61&lt;&gt;"",F61&gt;0),G61/F61,"")</f>
        <v/>
      </c>
      <c r="L61" s="12" t="str">
        <f aca="false">IF(AND($C61&lt;&gt;"",F61&gt;0),I61/F61,"")</f>
        <v/>
      </c>
      <c r="M61" s="27" t="str">
        <f aca="false">IF($C61="","",IF(OR(F61=0,F61&lt;Settings!$B$5),"Need more data",IF(AND(K61&gt;=Settings!$B$6,L61&gt;=Settings!$B$7),"Keep",IF(AND(K61&lt;Settings!$B$6,L61&lt;Settings!$B$7),"Drop","Watch"))))</f>
        <v/>
      </c>
      <c r="N61" s="27" t="str">
        <f aca="false">IF($C61="","",IF(OR(F61&gt;E61,G61&gt;F61,E61&lt;0,F61&lt;0,G61&lt;0,H61&lt;0),"Check numbers","OK"))</f>
        <v/>
      </c>
    </row>
    <row r="62" customFormat="false" ht="15" hidden="false" customHeight="false" outlineLevel="0" collapsed="false">
      <c r="A62" s="25"/>
      <c r="B62" s="21"/>
      <c r="C62" s="21"/>
      <c r="D62" s="21"/>
      <c r="E62" s="26"/>
      <c r="F62" s="26"/>
      <c r="G62" s="26"/>
      <c r="H62" s="23"/>
      <c r="I62" s="10" t="str">
        <f aca="false">IF($C62="","",G62*H62)</f>
        <v/>
      </c>
      <c r="J62" s="11" t="str">
        <f aca="false">IF(AND($C62&lt;&gt;"",E62&gt;0),F62/E62,"")</f>
        <v/>
      </c>
      <c r="K62" s="11" t="str">
        <f aca="false">IF(AND($C62&lt;&gt;"",F62&gt;0),G62/F62,"")</f>
        <v/>
      </c>
      <c r="L62" s="12" t="str">
        <f aca="false">IF(AND($C62&lt;&gt;"",F62&gt;0),I62/F62,"")</f>
        <v/>
      </c>
      <c r="M62" s="27" t="str">
        <f aca="false">IF($C62="","",IF(OR(F62=0,F62&lt;Settings!$B$5),"Need more data",IF(AND(K62&gt;=Settings!$B$6,L62&gt;=Settings!$B$7),"Keep",IF(AND(K62&lt;Settings!$B$6,L62&lt;Settings!$B$7),"Drop","Watch"))))</f>
        <v/>
      </c>
      <c r="N62" s="27" t="str">
        <f aca="false">IF($C62="","",IF(OR(F62&gt;E62,G62&gt;F62,E62&lt;0,F62&lt;0,G62&lt;0,H62&lt;0),"Check numbers","OK"))</f>
        <v/>
      </c>
    </row>
    <row r="63" customFormat="false" ht="15" hidden="false" customHeight="false" outlineLevel="0" collapsed="false">
      <c r="A63" s="25"/>
      <c r="B63" s="21"/>
      <c r="C63" s="21"/>
      <c r="D63" s="21"/>
      <c r="E63" s="26"/>
      <c r="F63" s="26"/>
      <c r="G63" s="26"/>
      <c r="H63" s="23"/>
      <c r="I63" s="10" t="str">
        <f aca="false">IF($C63="","",G63*H63)</f>
        <v/>
      </c>
      <c r="J63" s="11" t="str">
        <f aca="false">IF(AND($C63&lt;&gt;"",E63&gt;0),F63/E63,"")</f>
        <v/>
      </c>
      <c r="K63" s="11" t="str">
        <f aca="false">IF(AND($C63&lt;&gt;"",F63&gt;0),G63/F63,"")</f>
        <v/>
      </c>
      <c r="L63" s="12" t="str">
        <f aca="false">IF(AND($C63&lt;&gt;"",F63&gt;0),I63/F63,"")</f>
        <v/>
      </c>
      <c r="M63" s="27" t="str">
        <f aca="false">IF($C63="","",IF(OR(F63=0,F63&lt;Settings!$B$5),"Need more data",IF(AND(K63&gt;=Settings!$B$6,L63&gt;=Settings!$B$7),"Keep",IF(AND(K63&lt;Settings!$B$6,L63&lt;Settings!$B$7),"Drop","Watch"))))</f>
        <v/>
      </c>
      <c r="N63" s="27" t="str">
        <f aca="false">IF($C63="","",IF(OR(F63&gt;E63,G63&gt;F63,E63&lt;0,F63&lt;0,G63&lt;0,H63&lt;0),"Check numbers","OK"))</f>
        <v/>
      </c>
    </row>
    <row r="64" customFormat="false" ht="15" hidden="false" customHeight="false" outlineLevel="0" collapsed="false">
      <c r="A64" s="25"/>
      <c r="B64" s="21"/>
      <c r="C64" s="21"/>
      <c r="D64" s="21"/>
      <c r="E64" s="26"/>
      <c r="F64" s="26"/>
      <c r="G64" s="26"/>
      <c r="H64" s="23"/>
      <c r="I64" s="10" t="str">
        <f aca="false">IF($C64="","",G64*H64)</f>
        <v/>
      </c>
      <c r="J64" s="11" t="str">
        <f aca="false">IF(AND($C64&lt;&gt;"",E64&gt;0),F64/E64,"")</f>
        <v/>
      </c>
      <c r="K64" s="11" t="str">
        <f aca="false">IF(AND($C64&lt;&gt;"",F64&gt;0),G64/F64,"")</f>
        <v/>
      </c>
      <c r="L64" s="12" t="str">
        <f aca="false">IF(AND($C64&lt;&gt;"",F64&gt;0),I64/F64,"")</f>
        <v/>
      </c>
      <c r="M64" s="27" t="str">
        <f aca="false">IF($C64="","",IF(OR(F64=0,F64&lt;Settings!$B$5),"Need more data",IF(AND(K64&gt;=Settings!$B$6,L64&gt;=Settings!$B$7),"Keep",IF(AND(K64&lt;Settings!$B$6,L64&lt;Settings!$B$7),"Drop","Watch"))))</f>
        <v/>
      </c>
      <c r="N64" s="27" t="str">
        <f aca="false">IF($C64="","",IF(OR(F64&gt;E64,G64&gt;F64,E64&lt;0,F64&lt;0,G64&lt;0,H64&lt;0),"Check numbers","OK"))</f>
        <v/>
      </c>
    </row>
    <row r="65" customFormat="false" ht="15" hidden="false" customHeight="false" outlineLevel="0" collapsed="false">
      <c r="A65" s="25"/>
      <c r="B65" s="21"/>
      <c r="C65" s="21"/>
      <c r="D65" s="21"/>
      <c r="E65" s="26"/>
      <c r="F65" s="26"/>
      <c r="G65" s="26"/>
      <c r="H65" s="23"/>
      <c r="I65" s="10" t="str">
        <f aca="false">IF($C65="","",G65*H65)</f>
        <v/>
      </c>
      <c r="J65" s="11" t="str">
        <f aca="false">IF(AND($C65&lt;&gt;"",E65&gt;0),F65/E65,"")</f>
        <v/>
      </c>
      <c r="K65" s="11" t="str">
        <f aca="false">IF(AND($C65&lt;&gt;"",F65&gt;0),G65/F65,"")</f>
        <v/>
      </c>
      <c r="L65" s="12" t="str">
        <f aca="false">IF(AND($C65&lt;&gt;"",F65&gt;0),I65/F65,"")</f>
        <v/>
      </c>
      <c r="M65" s="27" t="str">
        <f aca="false">IF($C65="","",IF(OR(F65=0,F65&lt;Settings!$B$5),"Need more data",IF(AND(K65&gt;=Settings!$B$6,L65&gt;=Settings!$B$7),"Keep",IF(AND(K65&lt;Settings!$B$6,L65&lt;Settings!$B$7),"Drop","Watch"))))</f>
        <v/>
      </c>
      <c r="N65" s="27" t="str">
        <f aca="false">IF($C65="","",IF(OR(F65&gt;E65,G65&gt;F65,E65&lt;0,F65&lt;0,G65&lt;0,H65&lt;0),"Check numbers","OK"))</f>
        <v/>
      </c>
    </row>
    <row r="66" customFormat="false" ht="15" hidden="false" customHeight="false" outlineLevel="0" collapsed="false">
      <c r="A66" s="25"/>
      <c r="B66" s="21"/>
      <c r="C66" s="21"/>
      <c r="D66" s="21"/>
      <c r="E66" s="26"/>
      <c r="F66" s="26"/>
      <c r="G66" s="26"/>
      <c r="H66" s="23"/>
      <c r="I66" s="10" t="str">
        <f aca="false">IF($C66="","",G66*H66)</f>
        <v/>
      </c>
      <c r="J66" s="11" t="str">
        <f aca="false">IF(AND($C66&lt;&gt;"",E66&gt;0),F66/E66,"")</f>
        <v/>
      </c>
      <c r="K66" s="11" t="str">
        <f aca="false">IF(AND($C66&lt;&gt;"",F66&gt;0),G66/F66,"")</f>
        <v/>
      </c>
      <c r="L66" s="12" t="str">
        <f aca="false">IF(AND($C66&lt;&gt;"",F66&gt;0),I66/F66,"")</f>
        <v/>
      </c>
      <c r="M66" s="27" t="str">
        <f aca="false">IF($C66="","",IF(OR(F66=0,F66&lt;Settings!$B$5),"Need more data",IF(AND(K66&gt;=Settings!$B$6,L66&gt;=Settings!$B$7),"Keep",IF(AND(K66&lt;Settings!$B$6,L66&lt;Settings!$B$7),"Drop","Watch"))))</f>
        <v/>
      </c>
      <c r="N66" s="27" t="str">
        <f aca="false">IF($C66="","",IF(OR(F66&gt;E66,G66&gt;F66,E66&lt;0,F66&lt;0,G66&lt;0,H66&lt;0),"Check numbers","OK"))</f>
        <v/>
      </c>
    </row>
    <row r="67" customFormat="false" ht="15" hidden="false" customHeight="false" outlineLevel="0" collapsed="false">
      <c r="A67" s="25"/>
      <c r="B67" s="21"/>
      <c r="C67" s="21"/>
      <c r="D67" s="21"/>
      <c r="E67" s="26"/>
      <c r="F67" s="26"/>
      <c r="G67" s="26"/>
      <c r="H67" s="23"/>
      <c r="I67" s="10" t="str">
        <f aca="false">IF($C67="","",G67*H67)</f>
        <v/>
      </c>
      <c r="J67" s="11" t="str">
        <f aca="false">IF(AND($C67&lt;&gt;"",E67&gt;0),F67/E67,"")</f>
        <v/>
      </c>
      <c r="K67" s="11" t="str">
        <f aca="false">IF(AND($C67&lt;&gt;"",F67&gt;0),G67/F67,"")</f>
        <v/>
      </c>
      <c r="L67" s="12" t="str">
        <f aca="false">IF(AND($C67&lt;&gt;"",F67&gt;0),I67/F67,"")</f>
        <v/>
      </c>
      <c r="M67" s="27" t="str">
        <f aca="false">IF($C67="","",IF(OR(F67=0,F67&lt;Settings!$B$5),"Need more data",IF(AND(K67&gt;=Settings!$B$6,L67&gt;=Settings!$B$7),"Keep",IF(AND(K67&lt;Settings!$B$6,L67&lt;Settings!$B$7),"Drop","Watch"))))</f>
        <v/>
      </c>
      <c r="N67" s="27" t="str">
        <f aca="false">IF($C67="","",IF(OR(F67&gt;E67,G67&gt;F67,E67&lt;0,F67&lt;0,G67&lt;0,H67&lt;0),"Check numbers","OK"))</f>
        <v/>
      </c>
    </row>
    <row r="68" customFormat="false" ht="15" hidden="false" customHeight="false" outlineLevel="0" collapsed="false">
      <c r="A68" s="25"/>
      <c r="B68" s="21"/>
      <c r="C68" s="21"/>
      <c r="D68" s="21"/>
      <c r="E68" s="26"/>
      <c r="F68" s="26"/>
      <c r="G68" s="26"/>
      <c r="H68" s="23"/>
      <c r="I68" s="10" t="str">
        <f aca="false">IF($C68="","",G68*H68)</f>
        <v/>
      </c>
      <c r="J68" s="11" t="str">
        <f aca="false">IF(AND($C68&lt;&gt;"",E68&gt;0),F68/E68,"")</f>
        <v/>
      </c>
      <c r="K68" s="11" t="str">
        <f aca="false">IF(AND($C68&lt;&gt;"",F68&gt;0),G68/F68,"")</f>
        <v/>
      </c>
      <c r="L68" s="12" t="str">
        <f aca="false">IF(AND($C68&lt;&gt;"",F68&gt;0),I68/F68,"")</f>
        <v/>
      </c>
      <c r="M68" s="27" t="str">
        <f aca="false">IF($C68="","",IF(OR(F68=0,F68&lt;Settings!$B$5),"Need more data",IF(AND(K68&gt;=Settings!$B$6,L68&gt;=Settings!$B$7),"Keep",IF(AND(K68&lt;Settings!$B$6,L68&lt;Settings!$B$7),"Drop","Watch"))))</f>
        <v/>
      </c>
      <c r="N68" s="27" t="str">
        <f aca="false">IF($C68="","",IF(OR(F68&gt;E68,G68&gt;F68,E68&lt;0,F68&lt;0,G68&lt;0,H68&lt;0),"Check numbers","OK"))</f>
        <v/>
      </c>
    </row>
    <row r="69" customFormat="false" ht="15" hidden="false" customHeight="false" outlineLevel="0" collapsed="false">
      <c r="A69" s="25"/>
      <c r="B69" s="21"/>
      <c r="C69" s="21"/>
      <c r="D69" s="21"/>
      <c r="E69" s="26"/>
      <c r="F69" s="26"/>
      <c r="G69" s="26"/>
      <c r="H69" s="23"/>
      <c r="I69" s="10" t="str">
        <f aca="false">IF($C69="","",G69*H69)</f>
        <v/>
      </c>
      <c r="J69" s="11" t="str">
        <f aca="false">IF(AND($C69&lt;&gt;"",E69&gt;0),F69/E69,"")</f>
        <v/>
      </c>
      <c r="K69" s="11" t="str">
        <f aca="false">IF(AND($C69&lt;&gt;"",F69&gt;0),G69/F69,"")</f>
        <v/>
      </c>
      <c r="L69" s="12" t="str">
        <f aca="false">IF(AND($C69&lt;&gt;"",F69&gt;0),I69/F69,"")</f>
        <v/>
      </c>
      <c r="M69" s="27" t="str">
        <f aca="false">IF($C69="","",IF(OR(F69=0,F69&lt;Settings!$B$5),"Need more data",IF(AND(K69&gt;=Settings!$B$6,L69&gt;=Settings!$B$7),"Keep",IF(AND(K69&lt;Settings!$B$6,L69&lt;Settings!$B$7),"Drop","Watch"))))</f>
        <v/>
      </c>
      <c r="N69" s="27" t="str">
        <f aca="false">IF($C69="","",IF(OR(F69&gt;E69,G69&gt;F69,E69&lt;0,F69&lt;0,G69&lt;0,H69&lt;0),"Check numbers","OK"))</f>
        <v/>
      </c>
    </row>
    <row r="70" customFormat="false" ht="15" hidden="false" customHeight="false" outlineLevel="0" collapsed="false">
      <c r="A70" s="25"/>
      <c r="B70" s="21"/>
      <c r="C70" s="21"/>
      <c r="D70" s="21"/>
      <c r="E70" s="26"/>
      <c r="F70" s="26"/>
      <c r="G70" s="26"/>
      <c r="H70" s="23"/>
      <c r="I70" s="10" t="str">
        <f aca="false">IF($C70="","",G70*H70)</f>
        <v/>
      </c>
      <c r="J70" s="11" t="str">
        <f aca="false">IF(AND($C70&lt;&gt;"",E70&gt;0),F70/E70,"")</f>
        <v/>
      </c>
      <c r="K70" s="11" t="str">
        <f aca="false">IF(AND($C70&lt;&gt;"",F70&gt;0),G70/F70,"")</f>
        <v/>
      </c>
      <c r="L70" s="12" t="str">
        <f aca="false">IF(AND($C70&lt;&gt;"",F70&gt;0),I70/F70,"")</f>
        <v/>
      </c>
      <c r="M70" s="27" t="str">
        <f aca="false">IF($C70="","",IF(OR(F70=0,F70&lt;Settings!$B$5),"Need more data",IF(AND(K70&gt;=Settings!$B$6,L70&gt;=Settings!$B$7),"Keep",IF(AND(K70&lt;Settings!$B$6,L70&lt;Settings!$B$7),"Drop","Watch"))))</f>
        <v/>
      </c>
      <c r="N70" s="27" t="str">
        <f aca="false">IF($C70="","",IF(OR(F70&gt;E70,G70&gt;F70,E70&lt;0,F70&lt;0,G70&lt;0,H70&lt;0),"Check numbers","OK"))</f>
        <v/>
      </c>
    </row>
    <row r="71" customFormat="false" ht="15" hidden="false" customHeight="false" outlineLevel="0" collapsed="false">
      <c r="A71" s="25"/>
      <c r="B71" s="21"/>
      <c r="C71" s="21"/>
      <c r="D71" s="21"/>
      <c r="E71" s="26"/>
      <c r="F71" s="26"/>
      <c r="G71" s="26"/>
      <c r="H71" s="23"/>
      <c r="I71" s="10" t="str">
        <f aca="false">IF($C71="","",G71*H71)</f>
        <v/>
      </c>
      <c r="J71" s="11" t="str">
        <f aca="false">IF(AND($C71&lt;&gt;"",E71&gt;0),F71/E71,"")</f>
        <v/>
      </c>
      <c r="K71" s="11" t="str">
        <f aca="false">IF(AND($C71&lt;&gt;"",F71&gt;0),G71/F71,"")</f>
        <v/>
      </c>
      <c r="L71" s="12" t="str">
        <f aca="false">IF(AND($C71&lt;&gt;"",F71&gt;0),I71/F71,"")</f>
        <v/>
      </c>
      <c r="M71" s="27" t="str">
        <f aca="false">IF($C71="","",IF(OR(F71=0,F71&lt;Settings!$B$5),"Need more data",IF(AND(K71&gt;=Settings!$B$6,L71&gt;=Settings!$B$7),"Keep",IF(AND(K71&lt;Settings!$B$6,L71&lt;Settings!$B$7),"Drop","Watch"))))</f>
        <v/>
      </c>
      <c r="N71" s="27" t="str">
        <f aca="false">IF($C71="","",IF(OR(F71&gt;E71,G71&gt;F71,E71&lt;0,F71&lt;0,G71&lt;0,H71&lt;0),"Check numbers","OK"))</f>
        <v/>
      </c>
    </row>
    <row r="72" customFormat="false" ht="15" hidden="false" customHeight="false" outlineLevel="0" collapsed="false">
      <c r="A72" s="25"/>
      <c r="B72" s="21"/>
      <c r="C72" s="21"/>
      <c r="D72" s="21"/>
      <c r="E72" s="26"/>
      <c r="F72" s="26"/>
      <c r="G72" s="26"/>
      <c r="H72" s="23"/>
      <c r="I72" s="10" t="str">
        <f aca="false">IF($C72="","",G72*H72)</f>
        <v/>
      </c>
      <c r="J72" s="11" t="str">
        <f aca="false">IF(AND($C72&lt;&gt;"",E72&gt;0),F72/E72,"")</f>
        <v/>
      </c>
      <c r="K72" s="11" t="str">
        <f aca="false">IF(AND($C72&lt;&gt;"",F72&gt;0),G72/F72,"")</f>
        <v/>
      </c>
      <c r="L72" s="12" t="str">
        <f aca="false">IF(AND($C72&lt;&gt;"",F72&gt;0),I72/F72,"")</f>
        <v/>
      </c>
      <c r="M72" s="27" t="str">
        <f aca="false">IF($C72="","",IF(OR(F72=0,F72&lt;Settings!$B$5),"Need more data",IF(AND(K72&gt;=Settings!$B$6,L72&gt;=Settings!$B$7),"Keep",IF(AND(K72&lt;Settings!$B$6,L72&lt;Settings!$B$7),"Drop","Watch"))))</f>
        <v/>
      </c>
      <c r="N72" s="27" t="str">
        <f aca="false">IF($C72="","",IF(OR(F72&gt;E72,G72&gt;F72,E72&lt;0,F72&lt;0,G72&lt;0,H72&lt;0),"Check numbers","OK"))</f>
        <v/>
      </c>
    </row>
    <row r="73" customFormat="false" ht="15" hidden="false" customHeight="false" outlineLevel="0" collapsed="false">
      <c r="A73" s="25"/>
      <c r="B73" s="21"/>
      <c r="C73" s="21"/>
      <c r="D73" s="21"/>
      <c r="E73" s="26"/>
      <c r="F73" s="26"/>
      <c r="G73" s="26"/>
      <c r="H73" s="23"/>
      <c r="I73" s="10" t="str">
        <f aca="false">IF($C73="","",G73*H73)</f>
        <v/>
      </c>
      <c r="J73" s="11" t="str">
        <f aca="false">IF(AND($C73&lt;&gt;"",E73&gt;0),F73/E73,"")</f>
        <v/>
      </c>
      <c r="K73" s="11" t="str">
        <f aca="false">IF(AND($C73&lt;&gt;"",F73&gt;0),G73/F73,"")</f>
        <v/>
      </c>
      <c r="L73" s="12" t="str">
        <f aca="false">IF(AND($C73&lt;&gt;"",F73&gt;0),I73/F73,"")</f>
        <v/>
      </c>
      <c r="M73" s="27" t="str">
        <f aca="false">IF($C73="","",IF(OR(F73=0,F73&lt;Settings!$B$5),"Need more data",IF(AND(K73&gt;=Settings!$B$6,L73&gt;=Settings!$B$7),"Keep",IF(AND(K73&lt;Settings!$B$6,L73&lt;Settings!$B$7),"Drop","Watch"))))</f>
        <v/>
      </c>
      <c r="N73" s="27" t="str">
        <f aca="false">IF($C73="","",IF(OR(F73&gt;E73,G73&gt;F73,E73&lt;0,F73&lt;0,G73&lt;0,H73&lt;0),"Check numbers","OK"))</f>
        <v/>
      </c>
    </row>
    <row r="74" customFormat="false" ht="15" hidden="false" customHeight="false" outlineLevel="0" collapsed="false">
      <c r="A74" s="25"/>
      <c r="B74" s="21"/>
      <c r="C74" s="21"/>
      <c r="D74" s="21"/>
      <c r="E74" s="26"/>
      <c r="F74" s="26"/>
      <c r="G74" s="26"/>
      <c r="H74" s="23"/>
      <c r="I74" s="10" t="str">
        <f aca="false">IF($C74="","",G74*H74)</f>
        <v/>
      </c>
      <c r="J74" s="11" t="str">
        <f aca="false">IF(AND($C74&lt;&gt;"",E74&gt;0),F74/E74,"")</f>
        <v/>
      </c>
      <c r="K74" s="11" t="str">
        <f aca="false">IF(AND($C74&lt;&gt;"",F74&gt;0),G74/F74,"")</f>
        <v/>
      </c>
      <c r="L74" s="12" t="str">
        <f aca="false">IF(AND($C74&lt;&gt;"",F74&gt;0),I74/F74,"")</f>
        <v/>
      </c>
      <c r="M74" s="27" t="str">
        <f aca="false">IF($C74="","",IF(OR(F74=0,F74&lt;Settings!$B$5),"Need more data",IF(AND(K74&gt;=Settings!$B$6,L74&gt;=Settings!$B$7),"Keep",IF(AND(K74&lt;Settings!$B$6,L74&lt;Settings!$B$7),"Drop","Watch"))))</f>
        <v/>
      </c>
      <c r="N74" s="27" t="str">
        <f aca="false">IF($C74="","",IF(OR(F74&gt;E74,G74&gt;F74,E74&lt;0,F74&lt;0,G74&lt;0,H74&lt;0),"Check numbers","OK"))</f>
        <v/>
      </c>
    </row>
    <row r="75" customFormat="false" ht="15" hidden="false" customHeight="false" outlineLevel="0" collapsed="false">
      <c r="A75" s="25"/>
      <c r="B75" s="21"/>
      <c r="C75" s="21"/>
      <c r="D75" s="21"/>
      <c r="E75" s="26"/>
      <c r="F75" s="26"/>
      <c r="G75" s="26"/>
      <c r="H75" s="23"/>
      <c r="I75" s="10" t="str">
        <f aca="false">IF($C75="","",G75*H75)</f>
        <v/>
      </c>
      <c r="J75" s="11" t="str">
        <f aca="false">IF(AND($C75&lt;&gt;"",E75&gt;0),F75/E75,"")</f>
        <v/>
      </c>
      <c r="K75" s="11" t="str">
        <f aca="false">IF(AND($C75&lt;&gt;"",F75&gt;0),G75/F75,"")</f>
        <v/>
      </c>
      <c r="L75" s="12" t="str">
        <f aca="false">IF(AND($C75&lt;&gt;"",F75&gt;0),I75/F75,"")</f>
        <v/>
      </c>
      <c r="M75" s="27" t="str">
        <f aca="false">IF($C75="","",IF(OR(F75=0,F75&lt;Settings!$B$5),"Need more data",IF(AND(K75&gt;=Settings!$B$6,L75&gt;=Settings!$B$7),"Keep",IF(AND(K75&lt;Settings!$B$6,L75&lt;Settings!$B$7),"Drop","Watch"))))</f>
        <v/>
      </c>
      <c r="N75" s="27" t="str">
        <f aca="false">IF($C75="","",IF(OR(F75&gt;E75,G75&gt;F75,E75&lt;0,F75&lt;0,G75&lt;0,H75&lt;0),"Check numbers","OK"))</f>
        <v/>
      </c>
    </row>
    <row r="76" customFormat="false" ht="15" hidden="false" customHeight="false" outlineLevel="0" collapsed="false">
      <c r="A76" s="25"/>
      <c r="B76" s="21"/>
      <c r="C76" s="21"/>
      <c r="D76" s="21"/>
      <c r="E76" s="26"/>
      <c r="F76" s="26"/>
      <c r="G76" s="26"/>
      <c r="H76" s="23"/>
      <c r="I76" s="10" t="str">
        <f aca="false">IF($C76="","",G76*H76)</f>
        <v/>
      </c>
      <c r="J76" s="11" t="str">
        <f aca="false">IF(AND($C76&lt;&gt;"",E76&gt;0),F76/E76,"")</f>
        <v/>
      </c>
      <c r="K76" s="11" t="str">
        <f aca="false">IF(AND($C76&lt;&gt;"",F76&gt;0),G76/F76,"")</f>
        <v/>
      </c>
      <c r="L76" s="12" t="str">
        <f aca="false">IF(AND($C76&lt;&gt;"",F76&gt;0),I76/F76,"")</f>
        <v/>
      </c>
      <c r="M76" s="27" t="str">
        <f aca="false">IF($C76="","",IF(OR(F76=0,F76&lt;Settings!$B$5),"Need more data",IF(AND(K76&gt;=Settings!$B$6,L76&gt;=Settings!$B$7),"Keep",IF(AND(K76&lt;Settings!$B$6,L76&lt;Settings!$B$7),"Drop","Watch"))))</f>
        <v/>
      </c>
      <c r="N76" s="27" t="str">
        <f aca="false">IF($C76="","",IF(OR(F76&gt;E76,G76&gt;F76,E76&lt;0,F76&lt;0,G76&lt;0,H76&lt;0),"Check numbers","OK"))</f>
        <v/>
      </c>
    </row>
    <row r="77" customFormat="false" ht="15" hidden="false" customHeight="false" outlineLevel="0" collapsed="false">
      <c r="A77" s="25"/>
      <c r="B77" s="21"/>
      <c r="C77" s="21"/>
      <c r="D77" s="21"/>
      <c r="E77" s="26"/>
      <c r="F77" s="26"/>
      <c r="G77" s="26"/>
      <c r="H77" s="23"/>
      <c r="I77" s="10" t="str">
        <f aca="false">IF($C77="","",G77*H77)</f>
        <v/>
      </c>
      <c r="J77" s="11" t="str">
        <f aca="false">IF(AND($C77&lt;&gt;"",E77&gt;0),F77/E77,"")</f>
        <v/>
      </c>
      <c r="K77" s="11" t="str">
        <f aca="false">IF(AND($C77&lt;&gt;"",F77&gt;0),G77/F77,"")</f>
        <v/>
      </c>
      <c r="L77" s="12" t="str">
        <f aca="false">IF(AND($C77&lt;&gt;"",F77&gt;0),I77/F77,"")</f>
        <v/>
      </c>
      <c r="M77" s="27" t="str">
        <f aca="false">IF($C77="","",IF(OR(F77=0,F77&lt;Settings!$B$5),"Need more data",IF(AND(K77&gt;=Settings!$B$6,L77&gt;=Settings!$B$7),"Keep",IF(AND(K77&lt;Settings!$B$6,L77&lt;Settings!$B$7),"Drop","Watch"))))</f>
        <v/>
      </c>
      <c r="N77" s="27" t="str">
        <f aca="false">IF($C77="","",IF(OR(F77&gt;E77,G77&gt;F77,E77&lt;0,F77&lt;0,G77&lt;0,H77&lt;0),"Check numbers","OK"))</f>
        <v/>
      </c>
    </row>
    <row r="78" customFormat="false" ht="15" hidden="false" customHeight="false" outlineLevel="0" collapsed="false">
      <c r="A78" s="25"/>
      <c r="B78" s="21"/>
      <c r="C78" s="21"/>
      <c r="D78" s="21"/>
      <c r="E78" s="26"/>
      <c r="F78" s="26"/>
      <c r="G78" s="26"/>
      <c r="H78" s="23"/>
      <c r="I78" s="10" t="str">
        <f aca="false">IF($C78="","",G78*H78)</f>
        <v/>
      </c>
      <c r="J78" s="11" t="str">
        <f aca="false">IF(AND($C78&lt;&gt;"",E78&gt;0),F78/E78,"")</f>
        <v/>
      </c>
      <c r="K78" s="11" t="str">
        <f aca="false">IF(AND($C78&lt;&gt;"",F78&gt;0),G78/F78,"")</f>
        <v/>
      </c>
      <c r="L78" s="12" t="str">
        <f aca="false">IF(AND($C78&lt;&gt;"",F78&gt;0),I78/F78,"")</f>
        <v/>
      </c>
      <c r="M78" s="27" t="str">
        <f aca="false">IF($C78="","",IF(OR(F78=0,F78&lt;Settings!$B$5),"Need more data",IF(AND(K78&gt;=Settings!$B$6,L78&gt;=Settings!$B$7),"Keep",IF(AND(K78&lt;Settings!$B$6,L78&lt;Settings!$B$7),"Drop","Watch"))))</f>
        <v/>
      </c>
      <c r="N78" s="27" t="str">
        <f aca="false">IF($C78="","",IF(OR(F78&gt;E78,G78&gt;F78,E78&lt;0,F78&lt;0,G78&lt;0,H78&lt;0),"Check numbers","OK"))</f>
        <v/>
      </c>
    </row>
    <row r="79" customFormat="false" ht="15" hidden="false" customHeight="false" outlineLevel="0" collapsed="false">
      <c r="A79" s="25"/>
      <c r="B79" s="21"/>
      <c r="C79" s="21"/>
      <c r="D79" s="21"/>
      <c r="E79" s="26"/>
      <c r="F79" s="26"/>
      <c r="G79" s="26"/>
      <c r="H79" s="23"/>
      <c r="I79" s="10" t="str">
        <f aca="false">IF($C79="","",G79*H79)</f>
        <v/>
      </c>
      <c r="J79" s="11" t="str">
        <f aca="false">IF(AND($C79&lt;&gt;"",E79&gt;0),F79/E79,"")</f>
        <v/>
      </c>
      <c r="K79" s="11" t="str">
        <f aca="false">IF(AND($C79&lt;&gt;"",F79&gt;0),G79/F79,"")</f>
        <v/>
      </c>
      <c r="L79" s="12" t="str">
        <f aca="false">IF(AND($C79&lt;&gt;"",F79&gt;0),I79/F79,"")</f>
        <v/>
      </c>
      <c r="M79" s="27" t="str">
        <f aca="false">IF($C79="","",IF(OR(F79=0,F79&lt;Settings!$B$5),"Need more data",IF(AND(K79&gt;=Settings!$B$6,L79&gt;=Settings!$B$7),"Keep",IF(AND(K79&lt;Settings!$B$6,L79&lt;Settings!$B$7),"Drop","Watch"))))</f>
        <v/>
      </c>
      <c r="N79" s="27" t="str">
        <f aca="false">IF($C79="","",IF(OR(F79&gt;E79,G79&gt;F79,E79&lt;0,F79&lt;0,G79&lt;0,H79&lt;0),"Check numbers","OK"))</f>
        <v/>
      </c>
    </row>
    <row r="80" customFormat="false" ht="15" hidden="false" customHeight="false" outlineLevel="0" collapsed="false">
      <c r="A80" s="25"/>
      <c r="B80" s="21"/>
      <c r="C80" s="21"/>
      <c r="D80" s="21"/>
      <c r="E80" s="26"/>
      <c r="F80" s="26"/>
      <c r="G80" s="26"/>
      <c r="H80" s="23"/>
      <c r="I80" s="10" t="str">
        <f aca="false">IF($C80="","",G80*H80)</f>
        <v/>
      </c>
      <c r="J80" s="11" t="str">
        <f aca="false">IF(AND($C80&lt;&gt;"",E80&gt;0),F80/E80,"")</f>
        <v/>
      </c>
      <c r="K80" s="11" t="str">
        <f aca="false">IF(AND($C80&lt;&gt;"",F80&gt;0),G80/F80,"")</f>
        <v/>
      </c>
      <c r="L80" s="12" t="str">
        <f aca="false">IF(AND($C80&lt;&gt;"",F80&gt;0),I80/F80,"")</f>
        <v/>
      </c>
      <c r="M80" s="27" t="str">
        <f aca="false">IF($C80="","",IF(OR(F80=0,F80&lt;Settings!$B$5),"Need more data",IF(AND(K80&gt;=Settings!$B$6,L80&gt;=Settings!$B$7),"Keep",IF(AND(K80&lt;Settings!$B$6,L80&lt;Settings!$B$7),"Drop","Watch"))))</f>
        <v/>
      </c>
      <c r="N80" s="27" t="str">
        <f aca="false">IF($C80="","",IF(OR(F80&gt;E80,G80&gt;F80,E80&lt;0,F80&lt;0,G80&lt;0,H80&lt;0),"Check numbers","OK"))</f>
        <v/>
      </c>
    </row>
    <row r="81" customFormat="false" ht="15" hidden="false" customHeight="false" outlineLevel="0" collapsed="false">
      <c r="A81" s="25"/>
      <c r="B81" s="21"/>
      <c r="C81" s="21"/>
      <c r="D81" s="21"/>
      <c r="E81" s="26"/>
      <c r="F81" s="26"/>
      <c r="G81" s="26"/>
      <c r="H81" s="23"/>
      <c r="I81" s="10" t="str">
        <f aca="false">IF($C81="","",G81*H81)</f>
        <v/>
      </c>
      <c r="J81" s="11" t="str">
        <f aca="false">IF(AND($C81&lt;&gt;"",E81&gt;0),F81/E81,"")</f>
        <v/>
      </c>
      <c r="K81" s="11" t="str">
        <f aca="false">IF(AND($C81&lt;&gt;"",F81&gt;0),G81/F81,"")</f>
        <v/>
      </c>
      <c r="L81" s="12" t="str">
        <f aca="false">IF(AND($C81&lt;&gt;"",F81&gt;0),I81/F81,"")</f>
        <v/>
      </c>
      <c r="M81" s="27" t="str">
        <f aca="false">IF($C81="","",IF(OR(F81=0,F81&lt;Settings!$B$5),"Need more data",IF(AND(K81&gt;=Settings!$B$6,L81&gt;=Settings!$B$7),"Keep",IF(AND(K81&lt;Settings!$B$6,L81&lt;Settings!$B$7),"Drop","Watch"))))</f>
        <v/>
      </c>
      <c r="N81" s="27" t="str">
        <f aca="false">IF($C81="","",IF(OR(F81&gt;E81,G81&gt;F81,E81&lt;0,F81&lt;0,G81&lt;0,H81&lt;0),"Check numbers","OK"))</f>
        <v/>
      </c>
    </row>
    <row r="82" customFormat="false" ht="15" hidden="false" customHeight="false" outlineLevel="0" collapsed="false">
      <c r="A82" s="25"/>
      <c r="B82" s="21"/>
      <c r="C82" s="21"/>
      <c r="D82" s="21"/>
      <c r="E82" s="26"/>
      <c r="F82" s="26"/>
      <c r="G82" s="26"/>
      <c r="H82" s="23"/>
      <c r="I82" s="10" t="str">
        <f aca="false">IF($C82="","",G82*H82)</f>
        <v/>
      </c>
      <c r="J82" s="11" t="str">
        <f aca="false">IF(AND($C82&lt;&gt;"",E82&gt;0),F82/E82,"")</f>
        <v/>
      </c>
      <c r="K82" s="11" t="str">
        <f aca="false">IF(AND($C82&lt;&gt;"",F82&gt;0),G82/F82,"")</f>
        <v/>
      </c>
      <c r="L82" s="12" t="str">
        <f aca="false">IF(AND($C82&lt;&gt;"",F82&gt;0),I82/F82,"")</f>
        <v/>
      </c>
      <c r="M82" s="27" t="str">
        <f aca="false">IF($C82="","",IF(OR(F82=0,F82&lt;Settings!$B$5),"Need more data",IF(AND(K82&gt;=Settings!$B$6,L82&gt;=Settings!$B$7),"Keep",IF(AND(K82&lt;Settings!$B$6,L82&lt;Settings!$B$7),"Drop","Watch"))))</f>
        <v/>
      </c>
      <c r="N82" s="27" t="str">
        <f aca="false">IF($C82="","",IF(OR(F82&gt;E82,G82&gt;F82,E82&lt;0,F82&lt;0,G82&lt;0,H82&lt;0),"Check numbers","OK"))</f>
        <v/>
      </c>
    </row>
    <row r="83" customFormat="false" ht="15" hidden="false" customHeight="false" outlineLevel="0" collapsed="false">
      <c r="A83" s="25"/>
      <c r="B83" s="21"/>
      <c r="C83" s="21"/>
      <c r="D83" s="21"/>
      <c r="E83" s="26"/>
      <c r="F83" s="26"/>
      <c r="G83" s="26"/>
      <c r="H83" s="23"/>
      <c r="I83" s="10" t="str">
        <f aca="false">IF($C83="","",G83*H83)</f>
        <v/>
      </c>
      <c r="J83" s="11" t="str">
        <f aca="false">IF(AND($C83&lt;&gt;"",E83&gt;0),F83/E83,"")</f>
        <v/>
      </c>
      <c r="K83" s="11" t="str">
        <f aca="false">IF(AND($C83&lt;&gt;"",F83&gt;0),G83/F83,"")</f>
        <v/>
      </c>
      <c r="L83" s="12" t="str">
        <f aca="false">IF(AND($C83&lt;&gt;"",F83&gt;0),I83/F83,"")</f>
        <v/>
      </c>
      <c r="M83" s="27" t="str">
        <f aca="false">IF($C83="","",IF(OR(F83=0,F83&lt;Settings!$B$5),"Need more data",IF(AND(K83&gt;=Settings!$B$6,L83&gt;=Settings!$B$7),"Keep",IF(AND(K83&lt;Settings!$B$6,L83&lt;Settings!$B$7),"Drop","Watch"))))</f>
        <v/>
      </c>
      <c r="N83" s="27" t="str">
        <f aca="false">IF($C83="","",IF(OR(F83&gt;E83,G83&gt;F83,E83&lt;0,F83&lt;0,G83&lt;0,H83&lt;0),"Check numbers","OK"))</f>
        <v/>
      </c>
    </row>
    <row r="84" customFormat="false" ht="15" hidden="false" customHeight="false" outlineLevel="0" collapsed="false">
      <c r="A84" s="25"/>
      <c r="B84" s="21"/>
      <c r="C84" s="21"/>
      <c r="D84" s="21"/>
      <c r="E84" s="26"/>
      <c r="F84" s="26"/>
      <c r="G84" s="26"/>
      <c r="H84" s="23"/>
      <c r="I84" s="10" t="str">
        <f aca="false">IF($C84="","",G84*H84)</f>
        <v/>
      </c>
      <c r="J84" s="11" t="str">
        <f aca="false">IF(AND($C84&lt;&gt;"",E84&gt;0),F84/E84,"")</f>
        <v/>
      </c>
      <c r="K84" s="11" t="str">
        <f aca="false">IF(AND($C84&lt;&gt;"",F84&gt;0),G84/F84,"")</f>
        <v/>
      </c>
      <c r="L84" s="12" t="str">
        <f aca="false">IF(AND($C84&lt;&gt;"",F84&gt;0),I84/F84,"")</f>
        <v/>
      </c>
      <c r="M84" s="27" t="str">
        <f aca="false">IF($C84="","",IF(OR(F84=0,F84&lt;Settings!$B$5),"Need more data",IF(AND(K84&gt;=Settings!$B$6,L84&gt;=Settings!$B$7),"Keep",IF(AND(K84&lt;Settings!$B$6,L84&lt;Settings!$B$7),"Drop","Watch"))))</f>
        <v/>
      </c>
      <c r="N84" s="27" t="str">
        <f aca="false">IF($C84="","",IF(OR(F84&gt;E84,G84&gt;F84,E84&lt;0,F84&lt;0,G84&lt;0,H84&lt;0),"Check numbers","OK"))</f>
        <v/>
      </c>
    </row>
    <row r="85" customFormat="false" ht="15" hidden="false" customHeight="false" outlineLevel="0" collapsed="false">
      <c r="A85" s="25"/>
      <c r="B85" s="21"/>
      <c r="C85" s="21"/>
      <c r="D85" s="21"/>
      <c r="E85" s="26"/>
      <c r="F85" s="26"/>
      <c r="G85" s="26"/>
      <c r="H85" s="23"/>
      <c r="I85" s="10" t="str">
        <f aca="false">IF($C85="","",G85*H85)</f>
        <v/>
      </c>
      <c r="J85" s="11" t="str">
        <f aca="false">IF(AND($C85&lt;&gt;"",E85&gt;0),F85/E85,"")</f>
        <v/>
      </c>
      <c r="K85" s="11" t="str">
        <f aca="false">IF(AND($C85&lt;&gt;"",F85&gt;0),G85/F85,"")</f>
        <v/>
      </c>
      <c r="L85" s="12" t="str">
        <f aca="false">IF(AND($C85&lt;&gt;"",F85&gt;0),I85/F85,"")</f>
        <v/>
      </c>
      <c r="M85" s="27" t="str">
        <f aca="false">IF($C85="","",IF(OR(F85=0,F85&lt;Settings!$B$5),"Need more data",IF(AND(K85&gt;=Settings!$B$6,L85&gt;=Settings!$B$7),"Keep",IF(AND(K85&lt;Settings!$B$6,L85&lt;Settings!$B$7),"Drop","Watch"))))</f>
        <v/>
      </c>
      <c r="N85" s="27" t="str">
        <f aca="false">IF($C85="","",IF(OR(F85&gt;E85,G85&gt;F85,E85&lt;0,F85&lt;0,G85&lt;0,H85&lt;0),"Check numbers","OK"))</f>
        <v/>
      </c>
    </row>
    <row r="86" customFormat="false" ht="15" hidden="false" customHeight="false" outlineLevel="0" collapsed="false">
      <c r="A86" s="25"/>
      <c r="B86" s="21"/>
      <c r="C86" s="21"/>
      <c r="D86" s="21"/>
      <c r="E86" s="26"/>
      <c r="F86" s="26"/>
      <c r="G86" s="26"/>
      <c r="H86" s="23"/>
      <c r="I86" s="10" t="str">
        <f aca="false">IF($C86="","",G86*H86)</f>
        <v/>
      </c>
      <c r="J86" s="11" t="str">
        <f aca="false">IF(AND($C86&lt;&gt;"",E86&gt;0),F86/E86,"")</f>
        <v/>
      </c>
      <c r="K86" s="11" t="str">
        <f aca="false">IF(AND($C86&lt;&gt;"",F86&gt;0),G86/F86,"")</f>
        <v/>
      </c>
      <c r="L86" s="12" t="str">
        <f aca="false">IF(AND($C86&lt;&gt;"",F86&gt;0),I86/F86,"")</f>
        <v/>
      </c>
      <c r="M86" s="27" t="str">
        <f aca="false">IF($C86="","",IF(OR(F86=0,F86&lt;Settings!$B$5),"Need more data",IF(AND(K86&gt;=Settings!$B$6,L86&gt;=Settings!$B$7),"Keep",IF(AND(K86&lt;Settings!$B$6,L86&lt;Settings!$B$7),"Drop","Watch"))))</f>
        <v/>
      </c>
      <c r="N86" s="27" t="str">
        <f aca="false">IF($C86="","",IF(OR(F86&gt;E86,G86&gt;F86,E86&lt;0,F86&lt;0,G86&lt;0,H86&lt;0),"Check numbers","OK"))</f>
        <v/>
      </c>
    </row>
    <row r="87" customFormat="false" ht="15" hidden="false" customHeight="false" outlineLevel="0" collapsed="false">
      <c r="A87" s="25"/>
      <c r="B87" s="21"/>
      <c r="C87" s="21"/>
      <c r="D87" s="21"/>
      <c r="E87" s="26"/>
      <c r="F87" s="26"/>
      <c r="G87" s="26"/>
      <c r="H87" s="23"/>
      <c r="I87" s="10" t="str">
        <f aca="false">IF($C87="","",G87*H87)</f>
        <v/>
      </c>
      <c r="J87" s="11" t="str">
        <f aca="false">IF(AND($C87&lt;&gt;"",E87&gt;0),F87/E87,"")</f>
        <v/>
      </c>
      <c r="K87" s="11" t="str">
        <f aca="false">IF(AND($C87&lt;&gt;"",F87&gt;0),G87/F87,"")</f>
        <v/>
      </c>
      <c r="L87" s="12" t="str">
        <f aca="false">IF(AND($C87&lt;&gt;"",F87&gt;0),I87/F87,"")</f>
        <v/>
      </c>
      <c r="M87" s="27" t="str">
        <f aca="false">IF($C87="","",IF(OR(F87=0,F87&lt;Settings!$B$5),"Need more data",IF(AND(K87&gt;=Settings!$B$6,L87&gt;=Settings!$B$7),"Keep",IF(AND(K87&lt;Settings!$B$6,L87&lt;Settings!$B$7),"Drop","Watch"))))</f>
        <v/>
      </c>
      <c r="N87" s="27" t="str">
        <f aca="false">IF($C87="","",IF(OR(F87&gt;E87,G87&gt;F87,E87&lt;0,F87&lt;0,G87&lt;0,H87&lt;0),"Check numbers","OK"))</f>
        <v/>
      </c>
    </row>
    <row r="88" customFormat="false" ht="15" hidden="false" customHeight="false" outlineLevel="0" collapsed="false">
      <c r="A88" s="25"/>
      <c r="B88" s="21"/>
      <c r="C88" s="21"/>
      <c r="D88" s="21"/>
      <c r="E88" s="26"/>
      <c r="F88" s="26"/>
      <c r="G88" s="26"/>
      <c r="H88" s="23"/>
      <c r="I88" s="10" t="str">
        <f aca="false">IF($C88="","",G88*H88)</f>
        <v/>
      </c>
      <c r="J88" s="11" t="str">
        <f aca="false">IF(AND($C88&lt;&gt;"",E88&gt;0),F88/E88,"")</f>
        <v/>
      </c>
      <c r="K88" s="11" t="str">
        <f aca="false">IF(AND($C88&lt;&gt;"",F88&gt;0),G88/F88,"")</f>
        <v/>
      </c>
      <c r="L88" s="12" t="str">
        <f aca="false">IF(AND($C88&lt;&gt;"",F88&gt;0),I88/F88,"")</f>
        <v/>
      </c>
      <c r="M88" s="27" t="str">
        <f aca="false">IF($C88="","",IF(OR(F88=0,F88&lt;Settings!$B$5),"Need more data",IF(AND(K88&gt;=Settings!$B$6,L88&gt;=Settings!$B$7),"Keep",IF(AND(K88&lt;Settings!$B$6,L88&lt;Settings!$B$7),"Drop","Watch"))))</f>
        <v/>
      </c>
      <c r="N88" s="27" t="str">
        <f aca="false">IF($C88="","",IF(OR(F88&gt;E88,G88&gt;F88,E88&lt;0,F88&lt;0,G88&lt;0,H88&lt;0),"Check numbers","OK"))</f>
        <v/>
      </c>
    </row>
    <row r="89" customFormat="false" ht="15" hidden="false" customHeight="false" outlineLevel="0" collapsed="false">
      <c r="A89" s="25"/>
      <c r="B89" s="21"/>
      <c r="C89" s="21"/>
      <c r="D89" s="21"/>
      <c r="E89" s="26"/>
      <c r="F89" s="26"/>
      <c r="G89" s="26"/>
      <c r="H89" s="23"/>
      <c r="I89" s="10" t="str">
        <f aca="false">IF($C89="","",G89*H89)</f>
        <v/>
      </c>
      <c r="J89" s="11" t="str">
        <f aca="false">IF(AND($C89&lt;&gt;"",E89&gt;0),F89/E89,"")</f>
        <v/>
      </c>
      <c r="K89" s="11" t="str">
        <f aca="false">IF(AND($C89&lt;&gt;"",F89&gt;0),G89/F89,"")</f>
        <v/>
      </c>
      <c r="L89" s="12" t="str">
        <f aca="false">IF(AND($C89&lt;&gt;"",F89&gt;0),I89/F89,"")</f>
        <v/>
      </c>
      <c r="M89" s="27" t="str">
        <f aca="false">IF($C89="","",IF(OR(F89=0,F89&lt;Settings!$B$5),"Need more data",IF(AND(K89&gt;=Settings!$B$6,L89&gt;=Settings!$B$7),"Keep",IF(AND(K89&lt;Settings!$B$6,L89&lt;Settings!$B$7),"Drop","Watch"))))</f>
        <v/>
      </c>
      <c r="N89" s="27" t="str">
        <f aca="false">IF($C89="","",IF(OR(F89&gt;E89,G89&gt;F89,E89&lt;0,F89&lt;0,G89&lt;0,H89&lt;0),"Check numbers","OK"))</f>
        <v/>
      </c>
    </row>
    <row r="90" customFormat="false" ht="15" hidden="false" customHeight="false" outlineLevel="0" collapsed="false">
      <c r="A90" s="25"/>
      <c r="B90" s="21"/>
      <c r="C90" s="21"/>
      <c r="D90" s="21"/>
      <c r="E90" s="26"/>
      <c r="F90" s="26"/>
      <c r="G90" s="26"/>
      <c r="H90" s="23"/>
      <c r="I90" s="10" t="str">
        <f aca="false">IF($C90="","",G90*H90)</f>
        <v/>
      </c>
      <c r="J90" s="11" t="str">
        <f aca="false">IF(AND($C90&lt;&gt;"",E90&gt;0),F90/E90,"")</f>
        <v/>
      </c>
      <c r="K90" s="11" t="str">
        <f aca="false">IF(AND($C90&lt;&gt;"",F90&gt;0),G90/F90,"")</f>
        <v/>
      </c>
      <c r="L90" s="12" t="str">
        <f aca="false">IF(AND($C90&lt;&gt;"",F90&gt;0),I90/F90,"")</f>
        <v/>
      </c>
      <c r="M90" s="27" t="str">
        <f aca="false">IF($C90="","",IF(OR(F90=0,F90&lt;Settings!$B$5),"Need more data",IF(AND(K90&gt;=Settings!$B$6,L90&gt;=Settings!$B$7),"Keep",IF(AND(K90&lt;Settings!$B$6,L90&lt;Settings!$B$7),"Drop","Watch"))))</f>
        <v/>
      </c>
      <c r="N90" s="27" t="str">
        <f aca="false">IF($C90="","",IF(OR(F90&gt;E90,G90&gt;F90,E90&lt;0,F90&lt;0,G90&lt;0,H90&lt;0),"Check numbers","OK"))</f>
        <v/>
      </c>
    </row>
    <row r="91" customFormat="false" ht="15" hidden="false" customHeight="false" outlineLevel="0" collapsed="false">
      <c r="A91" s="25"/>
      <c r="B91" s="21"/>
      <c r="C91" s="21"/>
      <c r="D91" s="21"/>
      <c r="E91" s="26"/>
      <c r="F91" s="26"/>
      <c r="G91" s="26"/>
      <c r="H91" s="23"/>
      <c r="I91" s="10" t="str">
        <f aca="false">IF($C91="","",G91*H91)</f>
        <v/>
      </c>
      <c r="J91" s="11" t="str">
        <f aca="false">IF(AND($C91&lt;&gt;"",E91&gt;0),F91/E91,"")</f>
        <v/>
      </c>
      <c r="K91" s="11" t="str">
        <f aca="false">IF(AND($C91&lt;&gt;"",F91&gt;0),G91/F91,"")</f>
        <v/>
      </c>
      <c r="L91" s="12" t="str">
        <f aca="false">IF(AND($C91&lt;&gt;"",F91&gt;0),I91/F91,"")</f>
        <v/>
      </c>
      <c r="M91" s="27" t="str">
        <f aca="false">IF($C91="","",IF(OR(F91=0,F91&lt;Settings!$B$5),"Need more data",IF(AND(K91&gt;=Settings!$B$6,L91&gt;=Settings!$B$7),"Keep",IF(AND(K91&lt;Settings!$B$6,L91&lt;Settings!$B$7),"Drop","Watch"))))</f>
        <v/>
      </c>
      <c r="N91" s="27" t="str">
        <f aca="false">IF($C91="","",IF(OR(F91&gt;E91,G91&gt;F91,E91&lt;0,F91&lt;0,G91&lt;0,H91&lt;0),"Check numbers","OK"))</f>
        <v/>
      </c>
    </row>
    <row r="92" customFormat="false" ht="15" hidden="false" customHeight="false" outlineLevel="0" collapsed="false">
      <c r="A92" s="25"/>
      <c r="B92" s="21"/>
      <c r="C92" s="21"/>
      <c r="D92" s="21"/>
      <c r="E92" s="26"/>
      <c r="F92" s="26"/>
      <c r="G92" s="26"/>
      <c r="H92" s="23"/>
      <c r="I92" s="10" t="str">
        <f aca="false">IF($C92="","",G92*H92)</f>
        <v/>
      </c>
      <c r="J92" s="11" t="str">
        <f aca="false">IF(AND($C92&lt;&gt;"",E92&gt;0),F92/E92,"")</f>
        <v/>
      </c>
      <c r="K92" s="11" t="str">
        <f aca="false">IF(AND($C92&lt;&gt;"",F92&gt;0),G92/F92,"")</f>
        <v/>
      </c>
      <c r="L92" s="12" t="str">
        <f aca="false">IF(AND($C92&lt;&gt;"",F92&gt;0),I92/F92,"")</f>
        <v/>
      </c>
      <c r="M92" s="27" t="str">
        <f aca="false">IF($C92="","",IF(OR(F92=0,F92&lt;Settings!$B$5),"Need more data",IF(AND(K92&gt;=Settings!$B$6,L92&gt;=Settings!$B$7),"Keep",IF(AND(K92&lt;Settings!$B$6,L92&lt;Settings!$B$7),"Drop","Watch"))))</f>
        <v/>
      </c>
      <c r="N92" s="27" t="str">
        <f aca="false">IF($C92="","",IF(OR(F92&gt;E92,G92&gt;F92,E92&lt;0,F92&lt;0,G92&lt;0,H92&lt;0),"Check numbers","OK"))</f>
        <v/>
      </c>
    </row>
    <row r="93" customFormat="false" ht="15" hidden="false" customHeight="false" outlineLevel="0" collapsed="false">
      <c r="A93" s="25"/>
      <c r="B93" s="21"/>
      <c r="C93" s="21"/>
      <c r="D93" s="21"/>
      <c r="E93" s="26"/>
      <c r="F93" s="26"/>
      <c r="G93" s="26"/>
      <c r="H93" s="23"/>
      <c r="I93" s="10" t="str">
        <f aca="false">IF($C93="","",G93*H93)</f>
        <v/>
      </c>
      <c r="J93" s="11" t="str">
        <f aca="false">IF(AND($C93&lt;&gt;"",E93&gt;0),F93/E93,"")</f>
        <v/>
      </c>
      <c r="K93" s="11" t="str">
        <f aca="false">IF(AND($C93&lt;&gt;"",F93&gt;0),G93/F93,"")</f>
        <v/>
      </c>
      <c r="L93" s="12" t="str">
        <f aca="false">IF(AND($C93&lt;&gt;"",F93&gt;0),I93/F93,"")</f>
        <v/>
      </c>
      <c r="M93" s="27" t="str">
        <f aca="false">IF($C93="","",IF(OR(F93=0,F93&lt;Settings!$B$5),"Need more data",IF(AND(K93&gt;=Settings!$B$6,L93&gt;=Settings!$B$7),"Keep",IF(AND(K93&lt;Settings!$B$6,L93&lt;Settings!$B$7),"Drop","Watch"))))</f>
        <v/>
      </c>
      <c r="N93" s="27" t="str">
        <f aca="false">IF($C93="","",IF(OR(F93&gt;E93,G93&gt;F93,E93&lt;0,F93&lt;0,G93&lt;0,H93&lt;0),"Check numbers","OK"))</f>
        <v/>
      </c>
    </row>
    <row r="94" customFormat="false" ht="15" hidden="false" customHeight="false" outlineLevel="0" collapsed="false">
      <c r="A94" s="25"/>
      <c r="B94" s="21"/>
      <c r="C94" s="21"/>
      <c r="D94" s="21"/>
      <c r="E94" s="26"/>
      <c r="F94" s="26"/>
      <c r="G94" s="26"/>
      <c r="H94" s="23"/>
      <c r="I94" s="10" t="str">
        <f aca="false">IF($C94="","",G94*H94)</f>
        <v/>
      </c>
      <c r="J94" s="11" t="str">
        <f aca="false">IF(AND($C94&lt;&gt;"",E94&gt;0),F94/E94,"")</f>
        <v/>
      </c>
      <c r="K94" s="11" t="str">
        <f aca="false">IF(AND($C94&lt;&gt;"",F94&gt;0),G94/F94,"")</f>
        <v/>
      </c>
      <c r="L94" s="12" t="str">
        <f aca="false">IF(AND($C94&lt;&gt;"",F94&gt;0),I94/F94,"")</f>
        <v/>
      </c>
      <c r="M94" s="27" t="str">
        <f aca="false">IF($C94="","",IF(OR(F94=0,F94&lt;Settings!$B$5),"Need more data",IF(AND(K94&gt;=Settings!$B$6,L94&gt;=Settings!$B$7),"Keep",IF(AND(K94&lt;Settings!$B$6,L94&lt;Settings!$B$7),"Drop","Watch"))))</f>
        <v/>
      </c>
      <c r="N94" s="27" t="str">
        <f aca="false">IF($C94="","",IF(OR(F94&gt;E94,G94&gt;F94,E94&lt;0,F94&lt;0,G94&lt;0,H94&lt;0),"Check numbers","OK"))</f>
        <v/>
      </c>
    </row>
    <row r="95" customFormat="false" ht="15" hidden="false" customHeight="false" outlineLevel="0" collapsed="false">
      <c r="A95" s="25"/>
      <c r="B95" s="21"/>
      <c r="C95" s="21"/>
      <c r="D95" s="21"/>
      <c r="E95" s="26"/>
      <c r="F95" s="26"/>
      <c r="G95" s="26"/>
      <c r="H95" s="23"/>
      <c r="I95" s="10" t="str">
        <f aca="false">IF($C95="","",G95*H95)</f>
        <v/>
      </c>
      <c r="J95" s="11" t="str">
        <f aca="false">IF(AND($C95&lt;&gt;"",E95&gt;0),F95/E95,"")</f>
        <v/>
      </c>
      <c r="K95" s="11" t="str">
        <f aca="false">IF(AND($C95&lt;&gt;"",F95&gt;0),G95/F95,"")</f>
        <v/>
      </c>
      <c r="L95" s="12" t="str">
        <f aca="false">IF(AND($C95&lt;&gt;"",F95&gt;0),I95/F95,"")</f>
        <v/>
      </c>
      <c r="M95" s="27" t="str">
        <f aca="false">IF($C95="","",IF(OR(F95=0,F95&lt;Settings!$B$5),"Need more data",IF(AND(K95&gt;=Settings!$B$6,L95&gt;=Settings!$B$7),"Keep",IF(AND(K95&lt;Settings!$B$6,L95&lt;Settings!$B$7),"Drop","Watch"))))</f>
        <v/>
      </c>
      <c r="N95" s="27" t="str">
        <f aca="false">IF($C95="","",IF(OR(F95&gt;E95,G95&gt;F95,E95&lt;0,F95&lt;0,G95&lt;0,H95&lt;0),"Check numbers","OK"))</f>
        <v/>
      </c>
    </row>
    <row r="96" customFormat="false" ht="15" hidden="false" customHeight="false" outlineLevel="0" collapsed="false">
      <c r="A96" s="25"/>
      <c r="B96" s="21"/>
      <c r="C96" s="21"/>
      <c r="D96" s="21"/>
      <c r="E96" s="26"/>
      <c r="F96" s="26"/>
      <c r="G96" s="26"/>
      <c r="H96" s="23"/>
      <c r="I96" s="10" t="str">
        <f aca="false">IF($C96="","",G96*H96)</f>
        <v/>
      </c>
      <c r="J96" s="11" t="str">
        <f aca="false">IF(AND($C96&lt;&gt;"",E96&gt;0),F96/E96,"")</f>
        <v/>
      </c>
      <c r="K96" s="11" t="str">
        <f aca="false">IF(AND($C96&lt;&gt;"",F96&gt;0),G96/F96,"")</f>
        <v/>
      </c>
      <c r="L96" s="12" t="str">
        <f aca="false">IF(AND($C96&lt;&gt;"",F96&gt;0),I96/F96,"")</f>
        <v/>
      </c>
      <c r="M96" s="27" t="str">
        <f aca="false">IF($C96="","",IF(OR(F96=0,F96&lt;Settings!$B$5),"Need more data",IF(AND(K96&gt;=Settings!$B$6,L96&gt;=Settings!$B$7),"Keep",IF(AND(K96&lt;Settings!$B$6,L96&lt;Settings!$B$7),"Drop","Watch"))))</f>
        <v/>
      </c>
      <c r="N96" s="27" t="str">
        <f aca="false">IF($C96="","",IF(OR(F96&gt;E96,G96&gt;F96,E96&lt;0,F96&lt;0,G96&lt;0,H96&lt;0),"Check numbers","OK"))</f>
        <v/>
      </c>
    </row>
    <row r="97" customFormat="false" ht="15" hidden="false" customHeight="false" outlineLevel="0" collapsed="false">
      <c r="A97" s="25"/>
      <c r="B97" s="21"/>
      <c r="C97" s="21"/>
      <c r="D97" s="21"/>
      <c r="E97" s="26"/>
      <c r="F97" s="26"/>
      <c r="G97" s="26"/>
      <c r="H97" s="23"/>
      <c r="I97" s="10" t="str">
        <f aca="false">IF($C97="","",G97*H97)</f>
        <v/>
      </c>
      <c r="J97" s="11" t="str">
        <f aca="false">IF(AND($C97&lt;&gt;"",E97&gt;0),F97/E97,"")</f>
        <v/>
      </c>
      <c r="K97" s="11" t="str">
        <f aca="false">IF(AND($C97&lt;&gt;"",F97&gt;0),G97/F97,"")</f>
        <v/>
      </c>
      <c r="L97" s="12" t="str">
        <f aca="false">IF(AND($C97&lt;&gt;"",F97&gt;0),I97/F97,"")</f>
        <v/>
      </c>
      <c r="M97" s="27" t="str">
        <f aca="false">IF($C97="","",IF(OR(F97=0,F97&lt;Settings!$B$5),"Need more data",IF(AND(K97&gt;=Settings!$B$6,L97&gt;=Settings!$B$7),"Keep",IF(AND(K97&lt;Settings!$B$6,L97&lt;Settings!$B$7),"Drop","Watch"))))</f>
        <v/>
      </c>
      <c r="N97" s="27" t="str">
        <f aca="false">IF($C97="","",IF(OR(F97&gt;E97,G97&gt;F97,E97&lt;0,F97&lt;0,G97&lt;0,H97&lt;0),"Check numbers","OK"))</f>
        <v/>
      </c>
    </row>
    <row r="98" customFormat="false" ht="15" hidden="false" customHeight="false" outlineLevel="0" collapsed="false">
      <c r="A98" s="25"/>
      <c r="B98" s="21"/>
      <c r="C98" s="21"/>
      <c r="D98" s="21"/>
      <c r="E98" s="26"/>
      <c r="F98" s="26"/>
      <c r="G98" s="26"/>
      <c r="H98" s="23"/>
      <c r="I98" s="10" t="str">
        <f aca="false">IF($C98="","",G98*H98)</f>
        <v/>
      </c>
      <c r="J98" s="11" t="str">
        <f aca="false">IF(AND($C98&lt;&gt;"",E98&gt;0),F98/E98,"")</f>
        <v/>
      </c>
      <c r="K98" s="11" t="str">
        <f aca="false">IF(AND($C98&lt;&gt;"",F98&gt;0),G98/F98,"")</f>
        <v/>
      </c>
      <c r="L98" s="12" t="str">
        <f aca="false">IF(AND($C98&lt;&gt;"",F98&gt;0),I98/F98,"")</f>
        <v/>
      </c>
      <c r="M98" s="27" t="str">
        <f aca="false">IF($C98="","",IF(OR(F98=0,F98&lt;Settings!$B$5),"Need more data",IF(AND(K98&gt;=Settings!$B$6,L98&gt;=Settings!$B$7),"Keep",IF(AND(K98&lt;Settings!$B$6,L98&lt;Settings!$B$7),"Drop","Watch"))))</f>
        <v/>
      </c>
      <c r="N98" s="27" t="str">
        <f aca="false">IF($C98="","",IF(OR(F98&gt;E98,G98&gt;F98,E98&lt;0,F98&lt;0,G98&lt;0,H98&lt;0),"Check numbers","OK"))</f>
        <v/>
      </c>
    </row>
    <row r="99" customFormat="false" ht="15" hidden="false" customHeight="false" outlineLevel="0" collapsed="false">
      <c r="A99" s="25"/>
      <c r="B99" s="21"/>
      <c r="C99" s="21"/>
      <c r="D99" s="21"/>
      <c r="E99" s="26"/>
      <c r="F99" s="26"/>
      <c r="G99" s="26"/>
      <c r="H99" s="23"/>
      <c r="I99" s="10" t="str">
        <f aca="false">IF($C99="","",G99*H99)</f>
        <v/>
      </c>
      <c r="J99" s="11" t="str">
        <f aca="false">IF(AND($C99&lt;&gt;"",E99&gt;0),F99/E99,"")</f>
        <v/>
      </c>
      <c r="K99" s="11" t="str">
        <f aca="false">IF(AND($C99&lt;&gt;"",F99&gt;0),G99/F99,"")</f>
        <v/>
      </c>
      <c r="L99" s="12" t="str">
        <f aca="false">IF(AND($C99&lt;&gt;"",F99&gt;0),I99/F99,"")</f>
        <v/>
      </c>
      <c r="M99" s="27" t="str">
        <f aca="false">IF($C99="","",IF(OR(F99=0,F99&lt;Settings!$B$5),"Need more data",IF(AND(K99&gt;=Settings!$B$6,L99&gt;=Settings!$B$7),"Keep",IF(AND(K99&lt;Settings!$B$6,L99&lt;Settings!$B$7),"Drop","Watch"))))</f>
        <v/>
      </c>
      <c r="N99" s="27" t="str">
        <f aca="false">IF($C99="","",IF(OR(F99&gt;E99,G99&gt;F99,E99&lt;0,F99&lt;0,G99&lt;0,H99&lt;0),"Check numbers","OK"))</f>
        <v/>
      </c>
    </row>
    <row r="100" customFormat="false" ht="15" hidden="false" customHeight="false" outlineLevel="0" collapsed="false">
      <c r="A100" s="25"/>
      <c r="B100" s="21"/>
      <c r="C100" s="21"/>
      <c r="D100" s="21"/>
      <c r="E100" s="26"/>
      <c r="F100" s="26"/>
      <c r="G100" s="26"/>
      <c r="H100" s="23"/>
      <c r="I100" s="10" t="str">
        <f aca="false">IF($C100="","",G100*H100)</f>
        <v/>
      </c>
      <c r="J100" s="11" t="str">
        <f aca="false">IF(AND($C100&lt;&gt;"",E100&gt;0),F100/E100,"")</f>
        <v/>
      </c>
      <c r="K100" s="11" t="str">
        <f aca="false">IF(AND($C100&lt;&gt;"",F100&gt;0),G100/F100,"")</f>
        <v/>
      </c>
      <c r="L100" s="12" t="str">
        <f aca="false">IF(AND($C100&lt;&gt;"",F100&gt;0),I100/F100,"")</f>
        <v/>
      </c>
      <c r="M100" s="27" t="str">
        <f aca="false">IF($C100="","",IF(OR(F100=0,F100&lt;Settings!$B$5),"Need more data",IF(AND(K100&gt;=Settings!$B$6,L100&gt;=Settings!$B$7),"Keep",IF(AND(K100&lt;Settings!$B$6,L100&lt;Settings!$B$7),"Drop","Watch"))))</f>
        <v/>
      </c>
      <c r="N100" s="27" t="str">
        <f aca="false">IF($C100="","",IF(OR(F100&gt;E100,G100&gt;F100,E100&lt;0,F100&lt;0,G100&lt;0,H100&lt;0),"Check numbers","OK"))</f>
        <v/>
      </c>
    </row>
    <row r="101" customFormat="false" ht="15" hidden="false" customHeight="false" outlineLevel="0" collapsed="false">
      <c r="A101" s="25"/>
      <c r="B101" s="21"/>
      <c r="C101" s="21"/>
      <c r="D101" s="21"/>
      <c r="E101" s="26"/>
      <c r="F101" s="26"/>
      <c r="G101" s="26"/>
      <c r="H101" s="23"/>
      <c r="I101" s="10" t="str">
        <f aca="false">IF($C101="","",G101*H101)</f>
        <v/>
      </c>
      <c r="J101" s="11" t="str">
        <f aca="false">IF(AND($C101&lt;&gt;"",E101&gt;0),F101/E101,"")</f>
        <v/>
      </c>
      <c r="K101" s="11" t="str">
        <f aca="false">IF(AND($C101&lt;&gt;"",F101&gt;0),G101/F101,"")</f>
        <v/>
      </c>
      <c r="L101" s="12" t="str">
        <f aca="false">IF(AND($C101&lt;&gt;"",F101&gt;0),I101/F101,"")</f>
        <v/>
      </c>
      <c r="M101" s="27" t="str">
        <f aca="false">IF($C101="","",IF(OR(F101=0,F101&lt;Settings!$B$5),"Need more data",IF(AND(K101&gt;=Settings!$B$6,L101&gt;=Settings!$B$7),"Keep",IF(AND(K101&lt;Settings!$B$6,L101&lt;Settings!$B$7),"Drop","Watch"))))</f>
        <v/>
      </c>
      <c r="N101" s="27" t="str">
        <f aca="false">IF($C101="","",IF(OR(F101&gt;E101,G101&gt;F101,E101&lt;0,F101&lt;0,G101&lt;0,H101&lt;0),"Check numbers","OK"))</f>
        <v/>
      </c>
    </row>
    <row r="102" customFormat="false" ht="15" hidden="false" customHeight="false" outlineLevel="0" collapsed="false">
      <c r="A102" s="25"/>
      <c r="B102" s="21"/>
      <c r="C102" s="21"/>
      <c r="D102" s="21"/>
      <c r="E102" s="26"/>
      <c r="F102" s="26"/>
      <c r="G102" s="26"/>
      <c r="H102" s="23"/>
      <c r="I102" s="10" t="str">
        <f aca="false">IF($C102="","",G102*H102)</f>
        <v/>
      </c>
      <c r="J102" s="11" t="str">
        <f aca="false">IF(AND($C102&lt;&gt;"",E102&gt;0),F102/E102,"")</f>
        <v/>
      </c>
      <c r="K102" s="11" t="str">
        <f aca="false">IF(AND($C102&lt;&gt;"",F102&gt;0),G102/F102,"")</f>
        <v/>
      </c>
      <c r="L102" s="12" t="str">
        <f aca="false">IF(AND($C102&lt;&gt;"",F102&gt;0),I102/F102,"")</f>
        <v/>
      </c>
      <c r="M102" s="27" t="str">
        <f aca="false">IF($C102="","",IF(OR(F102=0,F102&lt;Settings!$B$5),"Need more data",IF(AND(K102&gt;=Settings!$B$6,L102&gt;=Settings!$B$7),"Keep",IF(AND(K102&lt;Settings!$B$6,L102&lt;Settings!$B$7),"Drop","Watch"))))</f>
        <v/>
      </c>
      <c r="N102" s="27" t="str">
        <f aca="false">IF($C102="","",IF(OR(F102&gt;E102,G102&gt;F102,E102&lt;0,F102&lt;0,G102&lt;0,H102&lt;0),"Check numbers","OK"))</f>
        <v/>
      </c>
    </row>
    <row r="103" customFormat="false" ht="15" hidden="false" customHeight="false" outlineLevel="0" collapsed="false">
      <c r="A103" s="25"/>
      <c r="B103" s="21"/>
      <c r="C103" s="21"/>
      <c r="D103" s="21"/>
      <c r="E103" s="26"/>
      <c r="F103" s="26"/>
      <c r="G103" s="26"/>
      <c r="H103" s="23"/>
      <c r="I103" s="10" t="str">
        <f aca="false">IF($C103="","",G103*H103)</f>
        <v/>
      </c>
      <c r="J103" s="11" t="str">
        <f aca="false">IF(AND($C103&lt;&gt;"",E103&gt;0),F103/E103,"")</f>
        <v/>
      </c>
      <c r="K103" s="11" t="str">
        <f aca="false">IF(AND($C103&lt;&gt;"",F103&gt;0),G103/F103,"")</f>
        <v/>
      </c>
      <c r="L103" s="12" t="str">
        <f aca="false">IF(AND($C103&lt;&gt;"",F103&gt;0),I103/F103,"")</f>
        <v/>
      </c>
      <c r="M103" s="27" t="str">
        <f aca="false">IF($C103="","",IF(OR(F103=0,F103&lt;Settings!$B$5),"Need more data",IF(AND(K103&gt;=Settings!$B$6,L103&gt;=Settings!$B$7),"Keep",IF(AND(K103&lt;Settings!$B$6,L103&lt;Settings!$B$7),"Drop","Watch"))))</f>
        <v/>
      </c>
      <c r="N103" s="27" t="str">
        <f aca="false">IF($C103="","",IF(OR(F103&gt;E103,G103&gt;F103,E103&lt;0,F103&lt;0,G103&lt;0,H103&lt;0),"Check numbers","OK"))</f>
        <v/>
      </c>
    </row>
    <row r="104" customFormat="false" ht="15" hidden="false" customHeight="false" outlineLevel="0" collapsed="false">
      <c r="A104" s="25"/>
      <c r="B104" s="21"/>
      <c r="C104" s="21"/>
      <c r="D104" s="21"/>
      <c r="E104" s="26"/>
      <c r="F104" s="26"/>
      <c r="G104" s="26"/>
      <c r="H104" s="23"/>
      <c r="I104" s="10" t="str">
        <f aca="false">IF($C104="","",G104*H104)</f>
        <v/>
      </c>
      <c r="J104" s="11" t="str">
        <f aca="false">IF(AND($C104&lt;&gt;"",E104&gt;0),F104/E104,"")</f>
        <v/>
      </c>
      <c r="K104" s="11" t="str">
        <f aca="false">IF(AND($C104&lt;&gt;"",F104&gt;0),G104/F104,"")</f>
        <v/>
      </c>
      <c r="L104" s="12" t="str">
        <f aca="false">IF(AND($C104&lt;&gt;"",F104&gt;0),I104/F104,"")</f>
        <v/>
      </c>
      <c r="M104" s="27" t="str">
        <f aca="false">IF($C104="","",IF(OR(F104=0,F104&lt;Settings!$B$5),"Need more data",IF(AND(K104&gt;=Settings!$B$6,L104&gt;=Settings!$B$7),"Keep",IF(AND(K104&lt;Settings!$B$6,L104&lt;Settings!$B$7),"Drop","Watch"))))</f>
        <v/>
      </c>
      <c r="N104" s="27" t="str">
        <f aca="false">IF($C104="","",IF(OR(F104&gt;E104,G104&gt;F104,E104&lt;0,F104&lt;0,G104&lt;0,H104&lt;0),"Check numbers","OK"))</f>
        <v/>
      </c>
    </row>
    <row r="105" customFormat="false" ht="15" hidden="false" customHeight="false" outlineLevel="0" collapsed="false">
      <c r="A105" s="25"/>
      <c r="B105" s="21"/>
      <c r="C105" s="21"/>
      <c r="D105" s="21"/>
      <c r="E105" s="26"/>
      <c r="F105" s="26"/>
      <c r="G105" s="26"/>
      <c r="H105" s="23"/>
      <c r="I105" s="10" t="str">
        <f aca="false">IF($C105="","",G105*H105)</f>
        <v/>
      </c>
      <c r="J105" s="11" t="str">
        <f aca="false">IF(AND($C105&lt;&gt;"",E105&gt;0),F105/E105,"")</f>
        <v/>
      </c>
      <c r="K105" s="11" t="str">
        <f aca="false">IF(AND($C105&lt;&gt;"",F105&gt;0),G105/F105,"")</f>
        <v/>
      </c>
      <c r="L105" s="12" t="str">
        <f aca="false">IF(AND($C105&lt;&gt;"",F105&gt;0),I105/F105,"")</f>
        <v/>
      </c>
      <c r="M105" s="27" t="str">
        <f aca="false">IF($C105="","",IF(OR(F105=0,F105&lt;Settings!$B$5),"Need more data",IF(AND(K105&gt;=Settings!$B$6,L105&gt;=Settings!$B$7),"Keep",IF(AND(K105&lt;Settings!$B$6,L105&lt;Settings!$B$7),"Drop","Watch"))))</f>
        <v/>
      </c>
      <c r="N105" s="27" t="str">
        <f aca="false">IF($C105="","",IF(OR(F105&gt;E105,G105&gt;F105,E105&lt;0,F105&lt;0,G105&lt;0,H105&lt;0),"Check numbers","OK"))</f>
        <v/>
      </c>
    </row>
    <row r="106" customFormat="false" ht="15" hidden="false" customHeight="false" outlineLevel="0" collapsed="false">
      <c r="A106" s="25"/>
      <c r="B106" s="21"/>
      <c r="C106" s="21"/>
      <c r="D106" s="21"/>
      <c r="E106" s="26"/>
      <c r="F106" s="26"/>
      <c r="G106" s="26"/>
      <c r="H106" s="23"/>
      <c r="I106" s="10" t="str">
        <f aca="false">IF($C106="","",G106*H106)</f>
        <v/>
      </c>
      <c r="J106" s="11" t="str">
        <f aca="false">IF(AND($C106&lt;&gt;"",E106&gt;0),F106/E106,"")</f>
        <v/>
      </c>
      <c r="K106" s="11" t="str">
        <f aca="false">IF(AND($C106&lt;&gt;"",F106&gt;0),G106/F106,"")</f>
        <v/>
      </c>
      <c r="L106" s="12" t="str">
        <f aca="false">IF(AND($C106&lt;&gt;"",F106&gt;0),I106/F106,"")</f>
        <v/>
      </c>
      <c r="M106" s="27" t="str">
        <f aca="false">IF($C106="","",IF(OR(F106=0,F106&lt;Settings!$B$5),"Need more data",IF(AND(K106&gt;=Settings!$B$6,L106&gt;=Settings!$B$7),"Keep",IF(AND(K106&lt;Settings!$B$6,L106&lt;Settings!$B$7),"Drop","Watch"))))</f>
        <v/>
      </c>
      <c r="N106" s="27" t="str">
        <f aca="false">IF($C106="","",IF(OR(F106&gt;E106,G106&gt;F106,E106&lt;0,F106&lt;0,G106&lt;0,H106&lt;0),"Check numbers","OK"))</f>
        <v/>
      </c>
    </row>
    <row r="107" customFormat="false" ht="15" hidden="false" customHeight="false" outlineLevel="0" collapsed="false">
      <c r="A107" s="25"/>
      <c r="B107" s="21"/>
      <c r="C107" s="21"/>
      <c r="D107" s="21"/>
      <c r="E107" s="26"/>
      <c r="F107" s="26"/>
      <c r="G107" s="26"/>
      <c r="H107" s="23"/>
      <c r="I107" s="10" t="str">
        <f aca="false">IF($C107="","",G107*H107)</f>
        <v/>
      </c>
      <c r="J107" s="11" t="str">
        <f aca="false">IF(AND($C107&lt;&gt;"",E107&gt;0),F107/E107,"")</f>
        <v/>
      </c>
      <c r="K107" s="11" t="str">
        <f aca="false">IF(AND($C107&lt;&gt;"",F107&gt;0),G107/F107,"")</f>
        <v/>
      </c>
      <c r="L107" s="12" t="str">
        <f aca="false">IF(AND($C107&lt;&gt;"",F107&gt;0),I107/F107,"")</f>
        <v/>
      </c>
      <c r="M107" s="27" t="str">
        <f aca="false">IF($C107="","",IF(OR(F107=0,F107&lt;Settings!$B$5),"Need more data",IF(AND(K107&gt;=Settings!$B$6,L107&gt;=Settings!$B$7),"Keep",IF(AND(K107&lt;Settings!$B$6,L107&lt;Settings!$B$7),"Drop","Watch"))))</f>
        <v/>
      </c>
      <c r="N107" s="27" t="str">
        <f aca="false">IF($C107="","",IF(OR(F107&gt;E107,G107&gt;F107,E107&lt;0,F107&lt;0,G107&lt;0,H107&lt;0),"Check numbers","OK"))</f>
        <v/>
      </c>
    </row>
    <row r="108" customFormat="false" ht="15" hidden="false" customHeight="false" outlineLevel="0" collapsed="false">
      <c r="A108" s="25"/>
      <c r="B108" s="21"/>
      <c r="C108" s="21"/>
      <c r="D108" s="21"/>
      <c r="E108" s="26"/>
      <c r="F108" s="26"/>
      <c r="G108" s="26"/>
      <c r="H108" s="23"/>
      <c r="I108" s="10" t="str">
        <f aca="false">IF($C108="","",G108*H108)</f>
        <v/>
      </c>
      <c r="J108" s="11" t="str">
        <f aca="false">IF(AND($C108&lt;&gt;"",E108&gt;0),F108/E108,"")</f>
        <v/>
      </c>
      <c r="K108" s="11" t="str">
        <f aca="false">IF(AND($C108&lt;&gt;"",F108&gt;0),G108/F108,"")</f>
        <v/>
      </c>
      <c r="L108" s="12" t="str">
        <f aca="false">IF(AND($C108&lt;&gt;"",F108&gt;0),I108/F108,"")</f>
        <v/>
      </c>
      <c r="M108" s="27" t="str">
        <f aca="false">IF($C108="","",IF(OR(F108=0,F108&lt;Settings!$B$5),"Need more data",IF(AND(K108&gt;=Settings!$B$6,L108&gt;=Settings!$B$7),"Keep",IF(AND(K108&lt;Settings!$B$6,L108&lt;Settings!$B$7),"Drop","Watch"))))</f>
        <v/>
      </c>
      <c r="N108" s="27" t="str">
        <f aca="false">IF($C108="","",IF(OR(F108&gt;E108,G108&gt;F108,E108&lt;0,F108&lt;0,G108&lt;0,H108&lt;0),"Check numbers","OK"))</f>
        <v/>
      </c>
    </row>
    <row r="109" customFormat="false" ht="15" hidden="false" customHeight="false" outlineLevel="0" collapsed="false">
      <c r="A109" s="25"/>
      <c r="B109" s="21"/>
      <c r="C109" s="21"/>
      <c r="D109" s="21"/>
      <c r="E109" s="26"/>
      <c r="F109" s="26"/>
      <c r="G109" s="26"/>
      <c r="H109" s="23"/>
      <c r="I109" s="10" t="str">
        <f aca="false">IF($C109="","",G109*H109)</f>
        <v/>
      </c>
      <c r="J109" s="11" t="str">
        <f aca="false">IF(AND($C109&lt;&gt;"",E109&gt;0),F109/E109,"")</f>
        <v/>
      </c>
      <c r="K109" s="11" t="str">
        <f aca="false">IF(AND($C109&lt;&gt;"",F109&gt;0),G109/F109,"")</f>
        <v/>
      </c>
      <c r="L109" s="12" t="str">
        <f aca="false">IF(AND($C109&lt;&gt;"",F109&gt;0),I109/F109,"")</f>
        <v/>
      </c>
      <c r="M109" s="27" t="str">
        <f aca="false">IF($C109="","",IF(OR(F109=0,F109&lt;Settings!$B$5),"Need more data",IF(AND(K109&gt;=Settings!$B$6,L109&gt;=Settings!$B$7),"Keep",IF(AND(K109&lt;Settings!$B$6,L109&lt;Settings!$B$7),"Drop","Watch"))))</f>
        <v/>
      </c>
      <c r="N109" s="27" t="str">
        <f aca="false">IF($C109="","",IF(OR(F109&gt;E109,G109&gt;F109,E109&lt;0,F109&lt;0,G109&lt;0,H109&lt;0),"Check numbers","OK"))</f>
        <v/>
      </c>
    </row>
    <row r="110" customFormat="false" ht="15" hidden="false" customHeight="false" outlineLevel="0" collapsed="false">
      <c r="A110" s="25"/>
      <c r="B110" s="21"/>
      <c r="C110" s="21"/>
      <c r="D110" s="21"/>
      <c r="E110" s="26"/>
      <c r="F110" s="26"/>
      <c r="G110" s="26"/>
      <c r="H110" s="23"/>
      <c r="I110" s="10" t="str">
        <f aca="false">IF($C110="","",G110*H110)</f>
        <v/>
      </c>
      <c r="J110" s="11" t="str">
        <f aca="false">IF(AND($C110&lt;&gt;"",E110&gt;0),F110/E110,"")</f>
        <v/>
      </c>
      <c r="K110" s="11" t="str">
        <f aca="false">IF(AND($C110&lt;&gt;"",F110&gt;0),G110/F110,"")</f>
        <v/>
      </c>
      <c r="L110" s="12" t="str">
        <f aca="false">IF(AND($C110&lt;&gt;"",F110&gt;0),I110/F110,"")</f>
        <v/>
      </c>
      <c r="M110" s="27" t="str">
        <f aca="false">IF($C110="","",IF(OR(F110=0,F110&lt;Settings!$B$5),"Need more data",IF(AND(K110&gt;=Settings!$B$6,L110&gt;=Settings!$B$7),"Keep",IF(AND(K110&lt;Settings!$B$6,L110&lt;Settings!$B$7),"Drop","Watch"))))</f>
        <v/>
      </c>
      <c r="N110" s="27" t="str">
        <f aca="false">IF($C110="","",IF(OR(F110&gt;E110,G110&gt;F110,E110&lt;0,F110&lt;0,G110&lt;0,H110&lt;0),"Check numbers","OK"))</f>
        <v/>
      </c>
    </row>
    <row r="111" customFormat="false" ht="15" hidden="false" customHeight="false" outlineLevel="0" collapsed="false">
      <c r="A111" s="25"/>
      <c r="B111" s="21"/>
      <c r="C111" s="21"/>
      <c r="D111" s="21"/>
      <c r="E111" s="26"/>
      <c r="F111" s="26"/>
      <c r="G111" s="26"/>
      <c r="H111" s="23"/>
      <c r="I111" s="10" t="str">
        <f aca="false">IF($C111="","",G111*H111)</f>
        <v/>
      </c>
      <c r="J111" s="11" t="str">
        <f aca="false">IF(AND($C111&lt;&gt;"",E111&gt;0),F111/E111,"")</f>
        <v/>
      </c>
      <c r="K111" s="11" t="str">
        <f aca="false">IF(AND($C111&lt;&gt;"",F111&gt;0),G111/F111,"")</f>
        <v/>
      </c>
      <c r="L111" s="12" t="str">
        <f aca="false">IF(AND($C111&lt;&gt;"",F111&gt;0),I111/F111,"")</f>
        <v/>
      </c>
      <c r="M111" s="27" t="str">
        <f aca="false">IF($C111="","",IF(OR(F111=0,F111&lt;Settings!$B$5),"Need more data",IF(AND(K111&gt;=Settings!$B$6,L111&gt;=Settings!$B$7),"Keep",IF(AND(K111&lt;Settings!$B$6,L111&lt;Settings!$B$7),"Drop","Watch"))))</f>
        <v/>
      </c>
      <c r="N111" s="27" t="str">
        <f aca="false">IF($C111="","",IF(OR(F111&gt;E111,G111&gt;F111,E111&lt;0,F111&lt;0,G111&lt;0,H111&lt;0),"Check numbers","OK"))</f>
        <v/>
      </c>
    </row>
    <row r="112" customFormat="false" ht="15" hidden="false" customHeight="false" outlineLevel="0" collapsed="false">
      <c r="A112" s="25"/>
      <c r="B112" s="21"/>
      <c r="C112" s="21"/>
      <c r="D112" s="21"/>
      <c r="E112" s="26"/>
      <c r="F112" s="26"/>
      <c r="G112" s="26"/>
      <c r="H112" s="23"/>
      <c r="I112" s="10" t="str">
        <f aca="false">IF($C112="","",G112*H112)</f>
        <v/>
      </c>
      <c r="J112" s="11" t="str">
        <f aca="false">IF(AND($C112&lt;&gt;"",E112&gt;0),F112/E112,"")</f>
        <v/>
      </c>
      <c r="K112" s="11" t="str">
        <f aca="false">IF(AND($C112&lt;&gt;"",F112&gt;0),G112/F112,"")</f>
        <v/>
      </c>
      <c r="L112" s="12" t="str">
        <f aca="false">IF(AND($C112&lt;&gt;"",F112&gt;0),I112/F112,"")</f>
        <v/>
      </c>
      <c r="M112" s="27" t="str">
        <f aca="false">IF($C112="","",IF(OR(F112=0,F112&lt;Settings!$B$5),"Need more data",IF(AND(K112&gt;=Settings!$B$6,L112&gt;=Settings!$B$7),"Keep",IF(AND(K112&lt;Settings!$B$6,L112&lt;Settings!$B$7),"Drop","Watch"))))</f>
        <v/>
      </c>
      <c r="N112" s="27" t="str">
        <f aca="false">IF($C112="","",IF(OR(F112&gt;E112,G112&gt;F112,E112&lt;0,F112&lt;0,G112&lt;0,H112&lt;0),"Check numbers","OK"))</f>
        <v/>
      </c>
    </row>
    <row r="113" customFormat="false" ht="15" hidden="false" customHeight="false" outlineLevel="0" collapsed="false">
      <c r="A113" s="25"/>
      <c r="B113" s="21"/>
      <c r="C113" s="21"/>
      <c r="D113" s="21"/>
      <c r="E113" s="26"/>
      <c r="F113" s="26"/>
      <c r="G113" s="26"/>
      <c r="H113" s="23"/>
      <c r="I113" s="10" t="str">
        <f aca="false">IF($C113="","",G113*H113)</f>
        <v/>
      </c>
      <c r="J113" s="11" t="str">
        <f aca="false">IF(AND($C113&lt;&gt;"",E113&gt;0),F113/E113,"")</f>
        <v/>
      </c>
      <c r="K113" s="11" t="str">
        <f aca="false">IF(AND($C113&lt;&gt;"",F113&gt;0),G113/F113,"")</f>
        <v/>
      </c>
      <c r="L113" s="12" t="str">
        <f aca="false">IF(AND($C113&lt;&gt;"",F113&gt;0),I113/F113,"")</f>
        <v/>
      </c>
      <c r="M113" s="27" t="str">
        <f aca="false">IF($C113="","",IF(OR(F113=0,F113&lt;Settings!$B$5),"Need more data",IF(AND(K113&gt;=Settings!$B$6,L113&gt;=Settings!$B$7),"Keep",IF(AND(K113&lt;Settings!$B$6,L113&lt;Settings!$B$7),"Drop","Watch"))))</f>
        <v/>
      </c>
      <c r="N113" s="27" t="str">
        <f aca="false">IF($C113="","",IF(OR(F113&gt;E113,G113&gt;F113,E113&lt;0,F113&lt;0,G113&lt;0,H113&lt;0),"Check numbers","OK"))</f>
        <v/>
      </c>
    </row>
    <row r="114" customFormat="false" ht="15" hidden="false" customHeight="false" outlineLevel="0" collapsed="false">
      <c r="A114" s="25"/>
      <c r="B114" s="21"/>
      <c r="C114" s="21"/>
      <c r="D114" s="21"/>
      <c r="E114" s="26"/>
      <c r="F114" s="26"/>
      <c r="G114" s="26"/>
      <c r="H114" s="23"/>
      <c r="I114" s="10" t="str">
        <f aca="false">IF($C114="","",G114*H114)</f>
        <v/>
      </c>
      <c r="J114" s="11" t="str">
        <f aca="false">IF(AND($C114&lt;&gt;"",E114&gt;0),F114/E114,"")</f>
        <v/>
      </c>
      <c r="K114" s="11" t="str">
        <f aca="false">IF(AND($C114&lt;&gt;"",F114&gt;0),G114/F114,"")</f>
        <v/>
      </c>
      <c r="L114" s="12" t="str">
        <f aca="false">IF(AND($C114&lt;&gt;"",F114&gt;0),I114/F114,"")</f>
        <v/>
      </c>
      <c r="M114" s="27" t="str">
        <f aca="false">IF($C114="","",IF(OR(F114=0,F114&lt;Settings!$B$5),"Need more data",IF(AND(K114&gt;=Settings!$B$6,L114&gt;=Settings!$B$7),"Keep",IF(AND(K114&lt;Settings!$B$6,L114&lt;Settings!$B$7),"Drop","Watch"))))</f>
        <v/>
      </c>
      <c r="N114" s="27" t="str">
        <f aca="false">IF($C114="","",IF(OR(F114&gt;E114,G114&gt;F114,E114&lt;0,F114&lt;0,G114&lt;0,H114&lt;0),"Check numbers","OK"))</f>
        <v/>
      </c>
    </row>
    <row r="115" customFormat="false" ht="15" hidden="false" customHeight="false" outlineLevel="0" collapsed="false">
      <c r="A115" s="25"/>
      <c r="B115" s="21"/>
      <c r="C115" s="21"/>
      <c r="D115" s="21"/>
      <c r="E115" s="26"/>
      <c r="F115" s="26"/>
      <c r="G115" s="26"/>
      <c r="H115" s="23"/>
      <c r="I115" s="10" t="str">
        <f aca="false">IF($C115="","",G115*H115)</f>
        <v/>
      </c>
      <c r="J115" s="11" t="str">
        <f aca="false">IF(AND($C115&lt;&gt;"",E115&gt;0),F115/E115,"")</f>
        <v/>
      </c>
      <c r="K115" s="11" t="str">
        <f aca="false">IF(AND($C115&lt;&gt;"",F115&gt;0),G115/F115,"")</f>
        <v/>
      </c>
      <c r="L115" s="12" t="str">
        <f aca="false">IF(AND($C115&lt;&gt;"",F115&gt;0),I115/F115,"")</f>
        <v/>
      </c>
      <c r="M115" s="27" t="str">
        <f aca="false">IF($C115="","",IF(OR(F115=0,F115&lt;Settings!$B$5),"Need more data",IF(AND(K115&gt;=Settings!$B$6,L115&gt;=Settings!$B$7),"Keep",IF(AND(K115&lt;Settings!$B$6,L115&lt;Settings!$B$7),"Drop","Watch"))))</f>
        <v/>
      </c>
      <c r="N115" s="27" t="str">
        <f aca="false">IF($C115="","",IF(OR(F115&gt;E115,G115&gt;F115,E115&lt;0,F115&lt;0,G115&lt;0,H115&lt;0),"Check numbers","OK"))</f>
        <v/>
      </c>
    </row>
    <row r="116" customFormat="false" ht="15" hidden="false" customHeight="false" outlineLevel="0" collapsed="false">
      <c r="A116" s="25"/>
      <c r="B116" s="21"/>
      <c r="C116" s="21"/>
      <c r="D116" s="21"/>
      <c r="E116" s="26"/>
      <c r="F116" s="26"/>
      <c r="G116" s="26"/>
      <c r="H116" s="23"/>
      <c r="I116" s="10" t="str">
        <f aca="false">IF($C116="","",G116*H116)</f>
        <v/>
      </c>
      <c r="J116" s="11" t="str">
        <f aca="false">IF(AND($C116&lt;&gt;"",E116&gt;0),F116/E116,"")</f>
        <v/>
      </c>
      <c r="K116" s="11" t="str">
        <f aca="false">IF(AND($C116&lt;&gt;"",F116&gt;0),G116/F116,"")</f>
        <v/>
      </c>
      <c r="L116" s="12" t="str">
        <f aca="false">IF(AND($C116&lt;&gt;"",F116&gt;0),I116/F116,"")</f>
        <v/>
      </c>
      <c r="M116" s="27" t="str">
        <f aca="false">IF($C116="","",IF(OR(F116=0,F116&lt;Settings!$B$5),"Need more data",IF(AND(K116&gt;=Settings!$B$6,L116&gt;=Settings!$B$7),"Keep",IF(AND(K116&lt;Settings!$B$6,L116&lt;Settings!$B$7),"Drop","Watch"))))</f>
        <v/>
      </c>
      <c r="N116" s="27" t="str">
        <f aca="false">IF($C116="","",IF(OR(F116&gt;E116,G116&gt;F116,E116&lt;0,F116&lt;0,G116&lt;0,H116&lt;0),"Check numbers","OK"))</f>
        <v/>
      </c>
    </row>
    <row r="117" customFormat="false" ht="15" hidden="false" customHeight="false" outlineLevel="0" collapsed="false">
      <c r="A117" s="25"/>
      <c r="B117" s="21"/>
      <c r="C117" s="21"/>
      <c r="D117" s="21"/>
      <c r="E117" s="26"/>
      <c r="F117" s="26"/>
      <c r="G117" s="26"/>
      <c r="H117" s="23"/>
      <c r="I117" s="10" t="str">
        <f aca="false">IF($C117="","",G117*H117)</f>
        <v/>
      </c>
      <c r="J117" s="11" t="str">
        <f aca="false">IF(AND($C117&lt;&gt;"",E117&gt;0),F117/E117,"")</f>
        <v/>
      </c>
      <c r="K117" s="11" t="str">
        <f aca="false">IF(AND($C117&lt;&gt;"",F117&gt;0),G117/F117,"")</f>
        <v/>
      </c>
      <c r="L117" s="12" t="str">
        <f aca="false">IF(AND($C117&lt;&gt;"",F117&gt;0),I117/F117,"")</f>
        <v/>
      </c>
      <c r="M117" s="27" t="str">
        <f aca="false">IF($C117="","",IF(OR(F117=0,F117&lt;Settings!$B$5),"Need more data",IF(AND(K117&gt;=Settings!$B$6,L117&gt;=Settings!$B$7),"Keep",IF(AND(K117&lt;Settings!$B$6,L117&lt;Settings!$B$7),"Drop","Watch"))))</f>
        <v/>
      </c>
      <c r="N117" s="27" t="str">
        <f aca="false">IF($C117="","",IF(OR(F117&gt;E117,G117&gt;F117,E117&lt;0,F117&lt;0,G117&lt;0,H117&lt;0),"Check numbers","OK"))</f>
        <v/>
      </c>
    </row>
    <row r="118" customFormat="false" ht="15" hidden="false" customHeight="false" outlineLevel="0" collapsed="false">
      <c r="A118" s="25"/>
      <c r="B118" s="21"/>
      <c r="C118" s="21"/>
      <c r="D118" s="21"/>
      <c r="E118" s="26"/>
      <c r="F118" s="26"/>
      <c r="G118" s="26"/>
      <c r="H118" s="23"/>
      <c r="I118" s="10" t="str">
        <f aca="false">IF($C118="","",G118*H118)</f>
        <v/>
      </c>
      <c r="J118" s="11" t="str">
        <f aca="false">IF(AND($C118&lt;&gt;"",E118&gt;0),F118/E118,"")</f>
        <v/>
      </c>
      <c r="K118" s="11" t="str">
        <f aca="false">IF(AND($C118&lt;&gt;"",F118&gt;0),G118/F118,"")</f>
        <v/>
      </c>
      <c r="L118" s="12" t="str">
        <f aca="false">IF(AND($C118&lt;&gt;"",F118&gt;0),I118/F118,"")</f>
        <v/>
      </c>
      <c r="M118" s="27" t="str">
        <f aca="false">IF($C118="","",IF(OR(F118=0,F118&lt;Settings!$B$5),"Need more data",IF(AND(K118&gt;=Settings!$B$6,L118&gt;=Settings!$B$7),"Keep",IF(AND(K118&lt;Settings!$B$6,L118&lt;Settings!$B$7),"Drop","Watch"))))</f>
        <v/>
      </c>
      <c r="N118" s="27" t="str">
        <f aca="false">IF($C118="","",IF(OR(F118&gt;E118,G118&gt;F118,E118&lt;0,F118&lt;0,G118&lt;0,H118&lt;0),"Check numbers","OK"))</f>
        <v/>
      </c>
    </row>
    <row r="119" customFormat="false" ht="15" hidden="false" customHeight="false" outlineLevel="0" collapsed="false">
      <c r="A119" s="25"/>
      <c r="B119" s="21"/>
      <c r="C119" s="21"/>
      <c r="D119" s="21"/>
      <c r="E119" s="26"/>
      <c r="F119" s="26"/>
      <c r="G119" s="26"/>
      <c r="H119" s="23"/>
      <c r="I119" s="10" t="str">
        <f aca="false">IF($C119="","",G119*H119)</f>
        <v/>
      </c>
      <c r="J119" s="11" t="str">
        <f aca="false">IF(AND($C119&lt;&gt;"",E119&gt;0),F119/E119,"")</f>
        <v/>
      </c>
      <c r="K119" s="11" t="str">
        <f aca="false">IF(AND($C119&lt;&gt;"",F119&gt;0),G119/F119,"")</f>
        <v/>
      </c>
      <c r="L119" s="12" t="str">
        <f aca="false">IF(AND($C119&lt;&gt;"",F119&gt;0),I119/F119,"")</f>
        <v/>
      </c>
      <c r="M119" s="27" t="str">
        <f aca="false">IF($C119="","",IF(OR(F119=0,F119&lt;Settings!$B$5),"Need more data",IF(AND(K119&gt;=Settings!$B$6,L119&gt;=Settings!$B$7),"Keep",IF(AND(K119&lt;Settings!$B$6,L119&lt;Settings!$B$7),"Drop","Watch"))))</f>
        <v/>
      </c>
      <c r="N119" s="27" t="str">
        <f aca="false">IF($C119="","",IF(OR(F119&gt;E119,G119&gt;F119,E119&lt;0,F119&lt;0,G119&lt;0,H119&lt;0),"Check numbers","OK"))</f>
        <v/>
      </c>
    </row>
    <row r="120" customFormat="false" ht="15" hidden="false" customHeight="false" outlineLevel="0" collapsed="false">
      <c r="A120" s="25"/>
      <c r="B120" s="21"/>
      <c r="C120" s="21"/>
      <c r="D120" s="21"/>
      <c r="E120" s="26"/>
      <c r="F120" s="26"/>
      <c r="G120" s="26"/>
      <c r="H120" s="23"/>
      <c r="I120" s="10" t="str">
        <f aca="false">IF($C120="","",G120*H120)</f>
        <v/>
      </c>
      <c r="J120" s="11" t="str">
        <f aca="false">IF(AND($C120&lt;&gt;"",E120&gt;0),F120/E120,"")</f>
        <v/>
      </c>
      <c r="K120" s="11" t="str">
        <f aca="false">IF(AND($C120&lt;&gt;"",F120&gt;0),G120/F120,"")</f>
        <v/>
      </c>
      <c r="L120" s="12" t="str">
        <f aca="false">IF(AND($C120&lt;&gt;"",F120&gt;0),I120/F120,"")</f>
        <v/>
      </c>
      <c r="M120" s="27" t="str">
        <f aca="false">IF($C120="","",IF(OR(F120=0,F120&lt;Settings!$B$5),"Need more data",IF(AND(K120&gt;=Settings!$B$6,L120&gt;=Settings!$B$7),"Keep",IF(AND(K120&lt;Settings!$B$6,L120&lt;Settings!$B$7),"Drop","Watch"))))</f>
        <v/>
      </c>
      <c r="N120" s="27" t="str">
        <f aca="false">IF($C120="","",IF(OR(F120&gt;E120,G120&gt;F120,E120&lt;0,F120&lt;0,G120&lt;0,H120&lt;0),"Check numbers","OK"))</f>
        <v/>
      </c>
    </row>
    <row r="121" customFormat="false" ht="15" hidden="false" customHeight="false" outlineLevel="0" collapsed="false">
      <c r="A121" s="25"/>
      <c r="B121" s="21"/>
      <c r="C121" s="21"/>
      <c r="D121" s="21"/>
      <c r="E121" s="26"/>
      <c r="F121" s="26"/>
      <c r="G121" s="26"/>
      <c r="H121" s="23"/>
      <c r="I121" s="10" t="str">
        <f aca="false">IF($C121="","",G121*H121)</f>
        <v/>
      </c>
      <c r="J121" s="11" t="str">
        <f aca="false">IF(AND($C121&lt;&gt;"",E121&gt;0),F121/E121,"")</f>
        <v/>
      </c>
      <c r="K121" s="11" t="str">
        <f aca="false">IF(AND($C121&lt;&gt;"",F121&gt;0),G121/F121,"")</f>
        <v/>
      </c>
      <c r="L121" s="12" t="str">
        <f aca="false">IF(AND($C121&lt;&gt;"",F121&gt;0),I121/F121,"")</f>
        <v/>
      </c>
      <c r="M121" s="27" t="str">
        <f aca="false">IF($C121="","",IF(OR(F121=0,F121&lt;Settings!$B$5),"Need more data",IF(AND(K121&gt;=Settings!$B$6,L121&gt;=Settings!$B$7),"Keep",IF(AND(K121&lt;Settings!$B$6,L121&lt;Settings!$B$7),"Drop","Watch"))))</f>
        <v/>
      </c>
      <c r="N121" s="27" t="str">
        <f aca="false">IF($C121="","",IF(OR(F121&gt;E121,G121&gt;F121,E121&lt;0,F121&lt;0,G121&lt;0,H121&lt;0),"Check numbers","OK"))</f>
        <v/>
      </c>
    </row>
    <row r="122" customFormat="false" ht="15" hidden="false" customHeight="false" outlineLevel="0" collapsed="false">
      <c r="A122" s="25"/>
      <c r="B122" s="21"/>
      <c r="C122" s="21"/>
      <c r="D122" s="21"/>
      <c r="E122" s="26"/>
      <c r="F122" s="26"/>
      <c r="G122" s="26"/>
      <c r="H122" s="23"/>
      <c r="I122" s="10" t="str">
        <f aca="false">IF($C122="","",G122*H122)</f>
        <v/>
      </c>
      <c r="J122" s="11" t="str">
        <f aca="false">IF(AND($C122&lt;&gt;"",E122&gt;0),F122/E122,"")</f>
        <v/>
      </c>
      <c r="K122" s="11" t="str">
        <f aca="false">IF(AND($C122&lt;&gt;"",F122&gt;0),G122/F122,"")</f>
        <v/>
      </c>
      <c r="L122" s="12" t="str">
        <f aca="false">IF(AND($C122&lt;&gt;"",F122&gt;0),I122/F122,"")</f>
        <v/>
      </c>
      <c r="M122" s="27" t="str">
        <f aca="false">IF($C122="","",IF(OR(F122=0,F122&lt;Settings!$B$5),"Need more data",IF(AND(K122&gt;=Settings!$B$6,L122&gt;=Settings!$B$7),"Keep",IF(AND(K122&lt;Settings!$B$6,L122&lt;Settings!$B$7),"Drop","Watch"))))</f>
        <v/>
      </c>
      <c r="N122" s="27" t="str">
        <f aca="false">IF($C122="","",IF(OR(F122&gt;E122,G122&gt;F122,E122&lt;0,F122&lt;0,G122&lt;0,H122&lt;0),"Check numbers","OK"))</f>
        <v/>
      </c>
    </row>
    <row r="123" customFormat="false" ht="15" hidden="false" customHeight="false" outlineLevel="0" collapsed="false">
      <c r="A123" s="25"/>
      <c r="B123" s="21"/>
      <c r="C123" s="21"/>
      <c r="D123" s="21"/>
      <c r="E123" s="26"/>
      <c r="F123" s="26"/>
      <c r="G123" s="26"/>
      <c r="H123" s="23"/>
      <c r="I123" s="10" t="str">
        <f aca="false">IF($C123="","",G123*H123)</f>
        <v/>
      </c>
      <c r="J123" s="11" t="str">
        <f aca="false">IF(AND($C123&lt;&gt;"",E123&gt;0),F123/E123,"")</f>
        <v/>
      </c>
      <c r="K123" s="11" t="str">
        <f aca="false">IF(AND($C123&lt;&gt;"",F123&gt;0),G123/F123,"")</f>
        <v/>
      </c>
      <c r="L123" s="12" t="str">
        <f aca="false">IF(AND($C123&lt;&gt;"",F123&gt;0),I123/F123,"")</f>
        <v/>
      </c>
      <c r="M123" s="27" t="str">
        <f aca="false">IF($C123="","",IF(OR(F123=0,F123&lt;Settings!$B$5),"Need more data",IF(AND(K123&gt;=Settings!$B$6,L123&gt;=Settings!$B$7),"Keep",IF(AND(K123&lt;Settings!$B$6,L123&lt;Settings!$B$7),"Drop","Watch"))))</f>
        <v/>
      </c>
      <c r="N123" s="27" t="str">
        <f aca="false">IF($C123="","",IF(OR(F123&gt;E123,G123&gt;F123,E123&lt;0,F123&lt;0,G123&lt;0,H123&lt;0),"Check numbers","OK"))</f>
        <v/>
      </c>
    </row>
    <row r="124" customFormat="false" ht="15" hidden="false" customHeight="false" outlineLevel="0" collapsed="false">
      <c r="A124" s="25"/>
      <c r="B124" s="21"/>
      <c r="C124" s="21"/>
      <c r="D124" s="21"/>
      <c r="E124" s="26"/>
      <c r="F124" s="26"/>
      <c r="G124" s="26"/>
      <c r="H124" s="23"/>
      <c r="I124" s="10" t="str">
        <f aca="false">IF($C124="","",G124*H124)</f>
        <v/>
      </c>
      <c r="J124" s="11" t="str">
        <f aca="false">IF(AND($C124&lt;&gt;"",E124&gt;0),F124/E124,"")</f>
        <v/>
      </c>
      <c r="K124" s="11" t="str">
        <f aca="false">IF(AND($C124&lt;&gt;"",F124&gt;0),G124/F124,"")</f>
        <v/>
      </c>
      <c r="L124" s="12" t="str">
        <f aca="false">IF(AND($C124&lt;&gt;"",F124&gt;0),I124/F124,"")</f>
        <v/>
      </c>
      <c r="M124" s="27" t="str">
        <f aca="false">IF($C124="","",IF(OR(F124=0,F124&lt;Settings!$B$5),"Need more data",IF(AND(K124&gt;=Settings!$B$6,L124&gt;=Settings!$B$7),"Keep",IF(AND(K124&lt;Settings!$B$6,L124&lt;Settings!$B$7),"Drop","Watch"))))</f>
        <v/>
      </c>
      <c r="N124" s="27" t="str">
        <f aca="false">IF($C124="","",IF(OR(F124&gt;E124,G124&gt;F124,E124&lt;0,F124&lt;0,G124&lt;0,H124&lt;0),"Check numbers","OK"))</f>
        <v/>
      </c>
    </row>
    <row r="125" customFormat="false" ht="15" hidden="false" customHeight="false" outlineLevel="0" collapsed="false">
      <c r="A125" s="25"/>
      <c r="B125" s="21"/>
      <c r="C125" s="21"/>
      <c r="D125" s="21"/>
      <c r="E125" s="26"/>
      <c r="F125" s="26"/>
      <c r="G125" s="26"/>
      <c r="H125" s="23"/>
      <c r="I125" s="10" t="str">
        <f aca="false">IF($C125="","",G125*H125)</f>
        <v/>
      </c>
      <c r="J125" s="11" t="str">
        <f aca="false">IF(AND($C125&lt;&gt;"",E125&gt;0),F125/E125,"")</f>
        <v/>
      </c>
      <c r="K125" s="11" t="str">
        <f aca="false">IF(AND($C125&lt;&gt;"",F125&gt;0),G125/F125,"")</f>
        <v/>
      </c>
      <c r="L125" s="12" t="str">
        <f aca="false">IF(AND($C125&lt;&gt;"",F125&gt;0),I125/F125,"")</f>
        <v/>
      </c>
      <c r="M125" s="27" t="str">
        <f aca="false">IF($C125="","",IF(OR(F125=0,F125&lt;Settings!$B$5),"Need more data",IF(AND(K125&gt;=Settings!$B$6,L125&gt;=Settings!$B$7),"Keep",IF(AND(K125&lt;Settings!$B$6,L125&lt;Settings!$B$7),"Drop","Watch"))))</f>
        <v/>
      </c>
      <c r="N125" s="27" t="str">
        <f aca="false">IF($C125="","",IF(OR(F125&gt;E125,G125&gt;F125,E125&lt;0,F125&lt;0,G125&lt;0,H125&lt;0),"Check numbers","OK"))</f>
        <v/>
      </c>
    </row>
    <row r="126" customFormat="false" ht="15" hidden="false" customHeight="false" outlineLevel="0" collapsed="false">
      <c r="A126" s="25"/>
      <c r="B126" s="21"/>
      <c r="C126" s="21"/>
      <c r="D126" s="21"/>
      <c r="E126" s="26"/>
      <c r="F126" s="26"/>
      <c r="G126" s="26"/>
      <c r="H126" s="23"/>
      <c r="I126" s="10" t="str">
        <f aca="false">IF($C126="","",G126*H126)</f>
        <v/>
      </c>
      <c r="J126" s="11" t="str">
        <f aca="false">IF(AND($C126&lt;&gt;"",E126&gt;0),F126/E126,"")</f>
        <v/>
      </c>
      <c r="K126" s="11" t="str">
        <f aca="false">IF(AND($C126&lt;&gt;"",F126&gt;0),G126/F126,"")</f>
        <v/>
      </c>
      <c r="L126" s="12" t="str">
        <f aca="false">IF(AND($C126&lt;&gt;"",F126&gt;0),I126/F126,"")</f>
        <v/>
      </c>
      <c r="M126" s="27" t="str">
        <f aca="false">IF($C126="","",IF(OR(F126=0,F126&lt;Settings!$B$5),"Need more data",IF(AND(K126&gt;=Settings!$B$6,L126&gt;=Settings!$B$7),"Keep",IF(AND(K126&lt;Settings!$B$6,L126&lt;Settings!$B$7),"Drop","Watch"))))</f>
        <v/>
      </c>
      <c r="N126" s="27" t="str">
        <f aca="false">IF($C126="","",IF(OR(F126&gt;E126,G126&gt;F126,E126&lt;0,F126&lt;0,G126&lt;0,H126&lt;0),"Check numbers","OK"))</f>
        <v/>
      </c>
    </row>
    <row r="127" customFormat="false" ht="15" hidden="false" customHeight="false" outlineLevel="0" collapsed="false">
      <c r="A127" s="25"/>
      <c r="B127" s="21"/>
      <c r="C127" s="21"/>
      <c r="D127" s="21"/>
      <c r="E127" s="26"/>
      <c r="F127" s="26"/>
      <c r="G127" s="26"/>
      <c r="H127" s="23"/>
      <c r="I127" s="10" t="str">
        <f aca="false">IF($C127="","",G127*H127)</f>
        <v/>
      </c>
      <c r="J127" s="11" t="str">
        <f aca="false">IF(AND($C127&lt;&gt;"",E127&gt;0),F127/E127,"")</f>
        <v/>
      </c>
      <c r="K127" s="11" t="str">
        <f aca="false">IF(AND($C127&lt;&gt;"",F127&gt;0),G127/F127,"")</f>
        <v/>
      </c>
      <c r="L127" s="12" t="str">
        <f aca="false">IF(AND($C127&lt;&gt;"",F127&gt;0),I127/F127,"")</f>
        <v/>
      </c>
      <c r="M127" s="27" t="str">
        <f aca="false">IF($C127="","",IF(OR(F127=0,F127&lt;Settings!$B$5),"Need more data",IF(AND(K127&gt;=Settings!$B$6,L127&gt;=Settings!$B$7),"Keep",IF(AND(K127&lt;Settings!$B$6,L127&lt;Settings!$B$7),"Drop","Watch"))))</f>
        <v/>
      </c>
      <c r="N127" s="27" t="str">
        <f aca="false">IF($C127="","",IF(OR(F127&gt;E127,G127&gt;F127,E127&lt;0,F127&lt;0,G127&lt;0,H127&lt;0),"Check numbers","OK"))</f>
        <v/>
      </c>
    </row>
    <row r="128" customFormat="false" ht="15" hidden="false" customHeight="false" outlineLevel="0" collapsed="false">
      <c r="A128" s="25"/>
      <c r="B128" s="21"/>
      <c r="C128" s="21"/>
      <c r="D128" s="21"/>
      <c r="E128" s="26"/>
      <c r="F128" s="26"/>
      <c r="G128" s="26"/>
      <c r="H128" s="23"/>
      <c r="I128" s="10" t="str">
        <f aca="false">IF($C128="","",G128*H128)</f>
        <v/>
      </c>
      <c r="J128" s="11" t="str">
        <f aca="false">IF(AND($C128&lt;&gt;"",E128&gt;0),F128/E128,"")</f>
        <v/>
      </c>
      <c r="K128" s="11" t="str">
        <f aca="false">IF(AND($C128&lt;&gt;"",F128&gt;0),G128/F128,"")</f>
        <v/>
      </c>
      <c r="L128" s="12" t="str">
        <f aca="false">IF(AND($C128&lt;&gt;"",F128&gt;0),I128/F128,"")</f>
        <v/>
      </c>
      <c r="M128" s="27" t="str">
        <f aca="false">IF($C128="","",IF(OR(F128=0,F128&lt;Settings!$B$5),"Need more data",IF(AND(K128&gt;=Settings!$B$6,L128&gt;=Settings!$B$7),"Keep",IF(AND(K128&lt;Settings!$B$6,L128&lt;Settings!$B$7),"Drop","Watch"))))</f>
        <v/>
      </c>
      <c r="N128" s="27" t="str">
        <f aca="false">IF($C128="","",IF(OR(F128&gt;E128,G128&gt;F128,E128&lt;0,F128&lt;0,G128&lt;0,H128&lt;0),"Check numbers","OK"))</f>
        <v/>
      </c>
    </row>
    <row r="129" customFormat="false" ht="15" hidden="false" customHeight="false" outlineLevel="0" collapsed="false">
      <c r="A129" s="25"/>
      <c r="B129" s="21"/>
      <c r="C129" s="21"/>
      <c r="D129" s="21"/>
      <c r="E129" s="26"/>
      <c r="F129" s="26"/>
      <c r="G129" s="26"/>
      <c r="H129" s="23"/>
      <c r="I129" s="10" t="str">
        <f aca="false">IF($C129="","",G129*H129)</f>
        <v/>
      </c>
      <c r="J129" s="11" t="str">
        <f aca="false">IF(AND($C129&lt;&gt;"",E129&gt;0),F129/E129,"")</f>
        <v/>
      </c>
      <c r="K129" s="11" t="str">
        <f aca="false">IF(AND($C129&lt;&gt;"",F129&gt;0),G129/F129,"")</f>
        <v/>
      </c>
      <c r="L129" s="12" t="str">
        <f aca="false">IF(AND($C129&lt;&gt;"",F129&gt;0),I129/F129,"")</f>
        <v/>
      </c>
      <c r="M129" s="27" t="str">
        <f aca="false">IF($C129="","",IF(OR(F129=0,F129&lt;Settings!$B$5),"Need more data",IF(AND(K129&gt;=Settings!$B$6,L129&gt;=Settings!$B$7),"Keep",IF(AND(K129&lt;Settings!$B$6,L129&lt;Settings!$B$7),"Drop","Watch"))))</f>
        <v/>
      </c>
      <c r="N129" s="27" t="str">
        <f aca="false">IF($C129="","",IF(OR(F129&gt;E129,G129&gt;F129,E129&lt;0,F129&lt;0,G129&lt;0,H129&lt;0),"Check numbers","OK"))</f>
        <v/>
      </c>
    </row>
    <row r="130" customFormat="false" ht="15" hidden="false" customHeight="false" outlineLevel="0" collapsed="false">
      <c r="A130" s="25"/>
      <c r="B130" s="21"/>
      <c r="C130" s="21"/>
      <c r="D130" s="21"/>
      <c r="E130" s="26"/>
      <c r="F130" s="26"/>
      <c r="G130" s="26"/>
      <c r="H130" s="23"/>
      <c r="I130" s="10" t="str">
        <f aca="false">IF($C130="","",G130*H130)</f>
        <v/>
      </c>
      <c r="J130" s="11" t="str">
        <f aca="false">IF(AND($C130&lt;&gt;"",E130&gt;0),F130/E130,"")</f>
        <v/>
      </c>
      <c r="K130" s="11" t="str">
        <f aca="false">IF(AND($C130&lt;&gt;"",F130&gt;0),G130/F130,"")</f>
        <v/>
      </c>
      <c r="L130" s="12" t="str">
        <f aca="false">IF(AND($C130&lt;&gt;"",F130&gt;0),I130/F130,"")</f>
        <v/>
      </c>
      <c r="M130" s="27" t="str">
        <f aca="false">IF($C130="","",IF(OR(F130=0,F130&lt;Settings!$B$5),"Need more data",IF(AND(K130&gt;=Settings!$B$6,L130&gt;=Settings!$B$7),"Keep",IF(AND(K130&lt;Settings!$B$6,L130&lt;Settings!$B$7),"Drop","Watch"))))</f>
        <v/>
      </c>
      <c r="N130" s="27" t="str">
        <f aca="false">IF($C130="","",IF(OR(F130&gt;E130,G130&gt;F130,E130&lt;0,F130&lt;0,G130&lt;0,H130&lt;0),"Check numbers","OK"))</f>
        <v/>
      </c>
    </row>
    <row r="131" customFormat="false" ht="15" hidden="false" customHeight="false" outlineLevel="0" collapsed="false">
      <c r="A131" s="25"/>
      <c r="B131" s="21"/>
      <c r="C131" s="21"/>
      <c r="D131" s="21"/>
      <c r="E131" s="26"/>
      <c r="F131" s="26"/>
      <c r="G131" s="26"/>
      <c r="H131" s="23"/>
      <c r="I131" s="10" t="str">
        <f aca="false">IF($C131="","",G131*H131)</f>
        <v/>
      </c>
      <c r="J131" s="11" t="str">
        <f aca="false">IF(AND($C131&lt;&gt;"",E131&gt;0),F131/E131,"")</f>
        <v/>
      </c>
      <c r="K131" s="11" t="str">
        <f aca="false">IF(AND($C131&lt;&gt;"",F131&gt;0),G131/F131,"")</f>
        <v/>
      </c>
      <c r="L131" s="12" t="str">
        <f aca="false">IF(AND($C131&lt;&gt;"",F131&gt;0),I131/F131,"")</f>
        <v/>
      </c>
      <c r="M131" s="27" t="str">
        <f aca="false">IF($C131="","",IF(OR(F131=0,F131&lt;Settings!$B$5),"Need more data",IF(AND(K131&gt;=Settings!$B$6,L131&gt;=Settings!$B$7),"Keep",IF(AND(K131&lt;Settings!$B$6,L131&lt;Settings!$B$7),"Drop","Watch"))))</f>
        <v/>
      </c>
      <c r="N131" s="27" t="str">
        <f aca="false">IF($C131="","",IF(OR(F131&gt;E131,G131&gt;F131,E131&lt;0,F131&lt;0,G131&lt;0,H131&lt;0),"Check numbers","OK"))</f>
        <v/>
      </c>
    </row>
    <row r="132" customFormat="false" ht="15" hidden="false" customHeight="false" outlineLevel="0" collapsed="false">
      <c r="A132" s="25"/>
      <c r="B132" s="21"/>
      <c r="C132" s="21"/>
      <c r="D132" s="21"/>
      <c r="E132" s="26"/>
      <c r="F132" s="26"/>
      <c r="G132" s="26"/>
      <c r="H132" s="23"/>
      <c r="I132" s="10" t="str">
        <f aca="false">IF($C132="","",G132*H132)</f>
        <v/>
      </c>
      <c r="J132" s="11" t="str">
        <f aca="false">IF(AND($C132&lt;&gt;"",E132&gt;0),F132/E132,"")</f>
        <v/>
      </c>
      <c r="K132" s="11" t="str">
        <f aca="false">IF(AND($C132&lt;&gt;"",F132&gt;0),G132/F132,"")</f>
        <v/>
      </c>
      <c r="L132" s="12" t="str">
        <f aca="false">IF(AND($C132&lt;&gt;"",F132&gt;0),I132/F132,"")</f>
        <v/>
      </c>
      <c r="M132" s="27" t="str">
        <f aca="false">IF($C132="","",IF(OR(F132=0,F132&lt;Settings!$B$5),"Need more data",IF(AND(K132&gt;=Settings!$B$6,L132&gt;=Settings!$B$7),"Keep",IF(AND(K132&lt;Settings!$B$6,L132&lt;Settings!$B$7),"Drop","Watch"))))</f>
        <v/>
      </c>
      <c r="N132" s="27" t="str">
        <f aca="false">IF($C132="","",IF(OR(F132&gt;E132,G132&gt;F132,E132&lt;0,F132&lt;0,G132&lt;0,H132&lt;0),"Check numbers","OK"))</f>
        <v/>
      </c>
    </row>
    <row r="133" customFormat="false" ht="15" hidden="false" customHeight="false" outlineLevel="0" collapsed="false">
      <c r="A133" s="25"/>
      <c r="B133" s="21"/>
      <c r="C133" s="21"/>
      <c r="D133" s="21"/>
      <c r="E133" s="26"/>
      <c r="F133" s="26"/>
      <c r="G133" s="26"/>
      <c r="H133" s="23"/>
      <c r="I133" s="10" t="str">
        <f aca="false">IF($C133="","",G133*H133)</f>
        <v/>
      </c>
      <c r="J133" s="11" t="str">
        <f aca="false">IF(AND($C133&lt;&gt;"",E133&gt;0),F133/E133,"")</f>
        <v/>
      </c>
      <c r="K133" s="11" t="str">
        <f aca="false">IF(AND($C133&lt;&gt;"",F133&gt;0),G133/F133,"")</f>
        <v/>
      </c>
      <c r="L133" s="12" t="str">
        <f aca="false">IF(AND($C133&lt;&gt;"",F133&gt;0),I133/F133,"")</f>
        <v/>
      </c>
      <c r="M133" s="27" t="str">
        <f aca="false">IF($C133="","",IF(OR(F133=0,F133&lt;Settings!$B$5),"Need more data",IF(AND(K133&gt;=Settings!$B$6,L133&gt;=Settings!$B$7),"Keep",IF(AND(K133&lt;Settings!$B$6,L133&lt;Settings!$B$7),"Drop","Watch"))))</f>
        <v/>
      </c>
      <c r="N133" s="27" t="str">
        <f aca="false">IF($C133="","",IF(OR(F133&gt;E133,G133&gt;F133,E133&lt;0,F133&lt;0,G133&lt;0,H133&lt;0),"Check numbers","OK"))</f>
        <v/>
      </c>
    </row>
    <row r="134" customFormat="false" ht="15" hidden="false" customHeight="false" outlineLevel="0" collapsed="false">
      <c r="A134" s="25"/>
      <c r="B134" s="21"/>
      <c r="C134" s="21"/>
      <c r="D134" s="21"/>
      <c r="E134" s="26"/>
      <c r="F134" s="26"/>
      <c r="G134" s="26"/>
      <c r="H134" s="23"/>
      <c r="I134" s="10" t="str">
        <f aca="false">IF($C134="","",G134*H134)</f>
        <v/>
      </c>
      <c r="J134" s="11" t="str">
        <f aca="false">IF(AND($C134&lt;&gt;"",E134&gt;0),F134/E134,"")</f>
        <v/>
      </c>
      <c r="K134" s="11" t="str">
        <f aca="false">IF(AND($C134&lt;&gt;"",F134&gt;0),G134/F134,"")</f>
        <v/>
      </c>
      <c r="L134" s="12" t="str">
        <f aca="false">IF(AND($C134&lt;&gt;"",F134&gt;0),I134/F134,"")</f>
        <v/>
      </c>
      <c r="M134" s="27" t="str">
        <f aca="false">IF($C134="","",IF(OR(F134=0,F134&lt;Settings!$B$5),"Need more data",IF(AND(K134&gt;=Settings!$B$6,L134&gt;=Settings!$B$7),"Keep",IF(AND(K134&lt;Settings!$B$6,L134&lt;Settings!$B$7),"Drop","Watch"))))</f>
        <v/>
      </c>
      <c r="N134" s="27" t="str">
        <f aca="false">IF($C134="","",IF(OR(F134&gt;E134,G134&gt;F134,E134&lt;0,F134&lt;0,G134&lt;0,H134&lt;0),"Check numbers","OK"))</f>
        <v/>
      </c>
    </row>
    <row r="135" customFormat="false" ht="15" hidden="false" customHeight="false" outlineLevel="0" collapsed="false">
      <c r="A135" s="25"/>
      <c r="B135" s="21"/>
      <c r="C135" s="21"/>
      <c r="D135" s="21"/>
      <c r="E135" s="26"/>
      <c r="F135" s="26"/>
      <c r="G135" s="26"/>
      <c r="H135" s="23"/>
      <c r="I135" s="10" t="str">
        <f aca="false">IF($C135="","",G135*H135)</f>
        <v/>
      </c>
      <c r="J135" s="11" t="str">
        <f aca="false">IF(AND($C135&lt;&gt;"",E135&gt;0),F135/E135,"")</f>
        <v/>
      </c>
      <c r="K135" s="11" t="str">
        <f aca="false">IF(AND($C135&lt;&gt;"",F135&gt;0),G135/F135,"")</f>
        <v/>
      </c>
      <c r="L135" s="12" t="str">
        <f aca="false">IF(AND($C135&lt;&gt;"",F135&gt;0),I135/F135,"")</f>
        <v/>
      </c>
      <c r="M135" s="27" t="str">
        <f aca="false">IF($C135="","",IF(OR(F135=0,F135&lt;Settings!$B$5),"Need more data",IF(AND(K135&gt;=Settings!$B$6,L135&gt;=Settings!$B$7),"Keep",IF(AND(K135&lt;Settings!$B$6,L135&lt;Settings!$B$7),"Drop","Watch"))))</f>
        <v/>
      </c>
      <c r="N135" s="27" t="str">
        <f aca="false">IF($C135="","",IF(OR(F135&gt;E135,G135&gt;F135,E135&lt;0,F135&lt;0,G135&lt;0,H135&lt;0),"Check numbers","OK"))</f>
        <v/>
      </c>
    </row>
    <row r="136" customFormat="false" ht="15" hidden="false" customHeight="false" outlineLevel="0" collapsed="false">
      <c r="A136" s="25"/>
      <c r="B136" s="21"/>
      <c r="C136" s="21"/>
      <c r="D136" s="21"/>
      <c r="E136" s="26"/>
      <c r="F136" s="26"/>
      <c r="G136" s="26"/>
      <c r="H136" s="23"/>
      <c r="I136" s="10" t="str">
        <f aca="false">IF($C136="","",G136*H136)</f>
        <v/>
      </c>
      <c r="J136" s="11" t="str">
        <f aca="false">IF(AND($C136&lt;&gt;"",E136&gt;0),F136/E136,"")</f>
        <v/>
      </c>
      <c r="K136" s="11" t="str">
        <f aca="false">IF(AND($C136&lt;&gt;"",F136&gt;0),G136/F136,"")</f>
        <v/>
      </c>
      <c r="L136" s="12" t="str">
        <f aca="false">IF(AND($C136&lt;&gt;"",F136&gt;0),I136/F136,"")</f>
        <v/>
      </c>
      <c r="M136" s="27" t="str">
        <f aca="false">IF($C136="","",IF(OR(F136=0,F136&lt;Settings!$B$5),"Need more data",IF(AND(K136&gt;=Settings!$B$6,L136&gt;=Settings!$B$7),"Keep",IF(AND(K136&lt;Settings!$B$6,L136&lt;Settings!$B$7),"Drop","Watch"))))</f>
        <v/>
      </c>
      <c r="N136" s="27" t="str">
        <f aca="false">IF($C136="","",IF(OR(F136&gt;E136,G136&gt;F136,E136&lt;0,F136&lt;0,G136&lt;0,H136&lt;0),"Check numbers","OK"))</f>
        <v/>
      </c>
    </row>
    <row r="137" customFormat="false" ht="15" hidden="false" customHeight="false" outlineLevel="0" collapsed="false">
      <c r="A137" s="25"/>
      <c r="B137" s="21"/>
      <c r="C137" s="21"/>
      <c r="D137" s="21"/>
      <c r="E137" s="26"/>
      <c r="F137" s="26"/>
      <c r="G137" s="26"/>
      <c r="H137" s="23"/>
      <c r="I137" s="10" t="str">
        <f aca="false">IF($C137="","",G137*H137)</f>
        <v/>
      </c>
      <c r="J137" s="11" t="str">
        <f aca="false">IF(AND($C137&lt;&gt;"",E137&gt;0),F137/E137,"")</f>
        <v/>
      </c>
      <c r="K137" s="11" t="str">
        <f aca="false">IF(AND($C137&lt;&gt;"",F137&gt;0),G137/F137,"")</f>
        <v/>
      </c>
      <c r="L137" s="12" t="str">
        <f aca="false">IF(AND($C137&lt;&gt;"",F137&gt;0),I137/F137,"")</f>
        <v/>
      </c>
      <c r="M137" s="27" t="str">
        <f aca="false">IF($C137="","",IF(OR(F137=0,F137&lt;Settings!$B$5),"Need more data",IF(AND(K137&gt;=Settings!$B$6,L137&gt;=Settings!$B$7),"Keep",IF(AND(K137&lt;Settings!$B$6,L137&lt;Settings!$B$7),"Drop","Watch"))))</f>
        <v/>
      </c>
      <c r="N137" s="27" t="str">
        <f aca="false">IF($C137="","",IF(OR(F137&gt;E137,G137&gt;F137,E137&lt;0,F137&lt;0,G137&lt;0,H137&lt;0),"Check numbers","OK"))</f>
        <v/>
      </c>
    </row>
    <row r="138" customFormat="false" ht="15" hidden="false" customHeight="false" outlineLevel="0" collapsed="false">
      <c r="A138" s="25"/>
      <c r="B138" s="21"/>
      <c r="C138" s="21"/>
      <c r="D138" s="21"/>
      <c r="E138" s="26"/>
      <c r="F138" s="26"/>
      <c r="G138" s="26"/>
      <c r="H138" s="23"/>
      <c r="I138" s="10" t="str">
        <f aca="false">IF($C138="","",G138*H138)</f>
        <v/>
      </c>
      <c r="J138" s="11" t="str">
        <f aca="false">IF(AND($C138&lt;&gt;"",E138&gt;0),F138/E138,"")</f>
        <v/>
      </c>
      <c r="K138" s="11" t="str">
        <f aca="false">IF(AND($C138&lt;&gt;"",F138&gt;0),G138/F138,"")</f>
        <v/>
      </c>
      <c r="L138" s="12" t="str">
        <f aca="false">IF(AND($C138&lt;&gt;"",F138&gt;0),I138/F138,"")</f>
        <v/>
      </c>
      <c r="M138" s="27" t="str">
        <f aca="false">IF($C138="","",IF(OR(F138=0,F138&lt;Settings!$B$5),"Need more data",IF(AND(K138&gt;=Settings!$B$6,L138&gt;=Settings!$B$7),"Keep",IF(AND(K138&lt;Settings!$B$6,L138&lt;Settings!$B$7),"Drop","Watch"))))</f>
        <v/>
      </c>
      <c r="N138" s="27" t="str">
        <f aca="false">IF($C138="","",IF(OR(F138&gt;E138,G138&gt;F138,E138&lt;0,F138&lt;0,G138&lt;0,H138&lt;0),"Check numbers","OK"))</f>
        <v/>
      </c>
    </row>
    <row r="139" customFormat="false" ht="15" hidden="false" customHeight="false" outlineLevel="0" collapsed="false">
      <c r="A139" s="25"/>
      <c r="B139" s="21"/>
      <c r="C139" s="21"/>
      <c r="D139" s="21"/>
      <c r="E139" s="26"/>
      <c r="F139" s="26"/>
      <c r="G139" s="26"/>
      <c r="H139" s="23"/>
      <c r="I139" s="10" t="str">
        <f aca="false">IF($C139="","",G139*H139)</f>
        <v/>
      </c>
      <c r="J139" s="11" t="str">
        <f aca="false">IF(AND($C139&lt;&gt;"",E139&gt;0),F139/E139,"")</f>
        <v/>
      </c>
      <c r="K139" s="11" t="str">
        <f aca="false">IF(AND($C139&lt;&gt;"",F139&gt;0),G139/F139,"")</f>
        <v/>
      </c>
      <c r="L139" s="12" t="str">
        <f aca="false">IF(AND($C139&lt;&gt;"",F139&gt;0),I139/F139,"")</f>
        <v/>
      </c>
      <c r="M139" s="27" t="str">
        <f aca="false">IF($C139="","",IF(OR(F139=0,F139&lt;Settings!$B$5),"Need more data",IF(AND(K139&gt;=Settings!$B$6,L139&gt;=Settings!$B$7),"Keep",IF(AND(K139&lt;Settings!$B$6,L139&lt;Settings!$B$7),"Drop","Watch"))))</f>
        <v/>
      </c>
      <c r="N139" s="27" t="str">
        <f aca="false">IF($C139="","",IF(OR(F139&gt;E139,G139&gt;F139,E139&lt;0,F139&lt;0,G139&lt;0,H139&lt;0),"Check numbers","OK"))</f>
        <v/>
      </c>
    </row>
    <row r="140" customFormat="false" ht="15" hidden="false" customHeight="false" outlineLevel="0" collapsed="false">
      <c r="A140" s="25"/>
      <c r="B140" s="21"/>
      <c r="C140" s="21"/>
      <c r="D140" s="21"/>
      <c r="E140" s="26"/>
      <c r="F140" s="26"/>
      <c r="G140" s="26"/>
      <c r="H140" s="23"/>
      <c r="I140" s="10" t="str">
        <f aca="false">IF($C140="","",G140*H140)</f>
        <v/>
      </c>
      <c r="J140" s="11" t="str">
        <f aca="false">IF(AND($C140&lt;&gt;"",E140&gt;0),F140/E140,"")</f>
        <v/>
      </c>
      <c r="K140" s="11" t="str">
        <f aca="false">IF(AND($C140&lt;&gt;"",F140&gt;0),G140/F140,"")</f>
        <v/>
      </c>
      <c r="L140" s="12" t="str">
        <f aca="false">IF(AND($C140&lt;&gt;"",F140&gt;0),I140/F140,"")</f>
        <v/>
      </c>
      <c r="M140" s="27" t="str">
        <f aca="false">IF($C140="","",IF(OR(F140=0,F140&lt;Settings!$B$5),"Need more data",IF(AND(K140&gt;=Settings!$B$6,L140&gt;=Settings!$B$7),"Keep",IF(AND(K140&lt;Settings!$B$6,L140&lt;Settings!$B$7),"Drop","Watch"))))</f>
        <v/>
      </c>
      <c r="N140" s="27" t="str">
        <f aca="false">IF($C140="","",IF(OR(F140&gt;E140,G140&gt;F140,E140&lt;0,F140&lt;0,G140&lt;0,H140&lt;0),"Check numbers","OK"))</f>
        <v/>
      </c>
    </row>
    <row r="141" customFormat="false" ht="15" hidden="false" customHeight="false" outlineLevel="0" collapsed="false">
      <c r="A141" s="25"/>
      <c r="B141" s="21"/>
      <c r="C141" s="21"/>
      <c r="D141" s="21"/>
      <c r="E141" s="26"/>
      <c r="F141" s="26"/>
      <c r="G141" s="26"/>
      <c r="H141" s="23"/>
      <c r="I141" s="10" t="str">
        <f aca="false">IF($C141="","",G141*H141)</f>
        <v/>
      </c>
      <c r="J141" s="11" t="str">
        <f aca="false">IF(AND($C141&lt;&gt;"",E141&gt;0),F141/E141,"")</f>
        <v/>
      </c>
      <c r="K141" s="11" t="str">
        <f aca="false">IF(AND($C141&lt;&gt;"",F141&gt;0),G141/F141,"")</f>
        <v/>
      </c>
      <c r="L141" s="12" t="str">
        <f aca="false">IF(AND($C141&lt;&gt;"",F141&gt;0),I141/F141,"")</f>
        <v/>
      </c>
      <c r="M141" s="27" t="str">
        <f aca="false">IF($C141="","",IF(OR(F141=0,F141&lt;Settings!$B$5),"Need more data",IF(AND(K141&gt;=Settings!$B$6,L141&gt;=Settings!$B$7),"Keep",IF(AND(K141&lt;Settings!$B$6,L141&lt;Settings!$B$7),"Drop","Watch"))))</f>
        <v/>
      </c>
      <c r="N141" s="27" t="str">
        <f aca="false">IF($C141="","",IF(OR(F141&gt;E141,G141&gt;F141,E141&lt;0,F141&lt;0,G141&lt;0,H141&lt;0),"Check numbers","OK"))</f>
        <v/>
      </c>
    </row>
    <row r="142" customFormat="false" ht="15" hidden="false" customHeight="false" outlineLevel="0" collapsed="false">
      <c r="A142" s="25"/>
      <c r="B142" s="21"/>
      <c r="C142" s="21"/>
      <c r="D142" s="21"/>
      <c r="E142" s="26"/>
      <c r="F142" s="26"/>
      <c r="G142" s="26"/>
      <c r="H142" s="23"/>
      <c r="I142" s="10" t="str">
        <f aca="false">IF($C142="","",G142*H142)</f>
        <v/>
      </c>
      <c r="J142" s="11" t="str">
        <f aca="false">IF(AND($C142&lt;&gt;"",E142&gt;0),F142/E142,"")</f>
        <v/>
      </c>
      <c r="K142" s="11" t="str">
        <f aca="false">IF(AND($C142&lt;&gt;"",F142&gt;0),G142/F142,"")</f>
        <v/>
      </c>
      <c r="L142" s="12" t="str">
        <f aca="false">IF(AND($C142&lt;&gt;"",F142&gt;0),I142/F142,"")</f>
        <v/>
      </c>
      <c r="M142" s="27" t="str">
        <f aca="false">IF($C142="","",IF(OR(F142=0,F142&lt;Settings!$B$5),"Need more data",IF(AND(K142&gt;=Settings!$B$6,L142&gt;=Settings!$B$7),"Keep",IF(AND(K142&lt;Settings!$B$6,L142&lt;Settings!$B$7),"Drop","Watch"))))</f>
        <v/>
      </c>
      <c r="N142" s="27" t="str">
        <f aca="false">IF($C142="","",IF(OR(F142&gt;E142,G142&gt;F142,E142&lt;0,F142&lt;0,G142&lt;0,H142&lt;0),"Check numbers","OK"))</f>
        <v/>
      </c>
    </row>
    <row r="143" customFormat="false" ht="15" hidden="false" customHeight="false" outlineLevel="0" collapsed="false">
      <c r="A143" s="25"/>
      <c r="B143" s="21"/>
      <c r="C143" s="21"/>
      <c r="D143" s="21"/>
      <c r="E143" s="26"/>
      <c r="F143" s="26"/>
      <c r="G143" s="26"/>
      <c r="H143" s="23"/>
      <c r="I143" s="10" t="str">
        <f aca="false">IF($C143="","",G143*H143)</f>
        <v/>
      </c>
      <c r="J143" s="11" t="str">
        <f aca="false">IF(AND($C143&lt;&gt;"",E143&gt;0),F143/E143,"")</f>
        <v/>
      </c>
      <c r="K143" s="11" t="str">
        <f aca="false">IF(AND($C143&lt;&gt;"",F143&gt;0),G143/F143,"")</f>
        <v/>
      </c>
      <c r="L143" s="12" t="str">
        <f aca="false">IF(AND($C143&lt;&gt;"",F143&gt;0),I143/F143,"")</f>
        <v/>
      </c>
      <c r="M143" s="27" t="str">
        <f aca="false">IF($C143="","",IF(OR(F143=0,F143&lt;Settings!$B$5),"Need more data",IF(AND(K143&gt;=Settings!$B$6,L143&gt;=Settings!$B$7),"Keep",IF(AND(K143&lt;Settings!$B$6,L143&lt;Settings!$B$7),"Drop","Watch"))))</f>
        <v/>
      </c>
      <c r="N143" s="27" t="str">
        <f aca="false">IF($C143="","",IF(OR(F143&gt;E143,G143&gt;F143,E143&lt;0,F143&lt;0,G143&lt;0,H143&lt;0),"Check numbers","OK"))</f>
        <v/>
      </c>
    </row>
    <row r="144" customFormat="false" ht="15" hidden="false" customHeight="false" outlineLevel="0" collapsed="false">
      <c r="A144" s="25"/>
      <c r="B144" s="21"/>
      <c r="C144" s="21"/>
      <c r="D144" s="21"/>
      <c r="E144" s="26"/>
      <c r="F144" s="26"/>
      <c r="G144" s="26"/>
      <c r="H144" s="23"/>
      <c r="I144" s="10" t="str">
        <f aca="false">IF($C144="","",G144*H144)</f>
        <v/>
      </c>
      <c r="J144" s="11" t="str">
        <f aca="false">IF(AND($C144&lt;&gt;"",E144&gt;0),F144/E144,"")</f>
        <v/>
      </c>
      <c r="K144" s="11" t="str">
        <f aca="false">IF(AND($C144&lt;&gt;"",F144&gt;0),G144/F144,"")</f>
        <v/>
      </c>
      <c r="L144" s="12" t="str">
        <f aca="false">IF(AND($C144&lt;&gt;"",F144&gt;0),I144/F144,"")</f>
        <v/>
      </c>
      <c r="M144" s="27" t="str">
        <f aca="false">IF($C144="","",IF(OR(F144=0,F144&lt;Settings!$B$5),"Need more data",IF(AND(K144&gt;=Settings!$B$6,L144&gt;=Settings!$B$7),"Keep",IF(AND(K144&lt;Settings!$B$6,L144&lt;Settings!$B$7),"Drop","Watch"))))</f>
        <v/>
      </c>
      <c r="N144" s="27" t="str">
        <f aca="false">IF($C144="","",IF(OR(F144&gt;E144,G144&gt;F144,E144&lt;0,F144&lt;0,G144&lt;0,H144&lt;0),"Check numbers","OK"))</f>
        <v/>
      </c>
    </row>
    <row r="145" customFormat="false" ht="15" hidden="false" customHeight="false" outlineLevel="0" collapsed="false">
      <c r="A145" s="25"/>
      <c r="B145" s="21"/>
      <c r="C145" s="21"/>
      <c r="D145" s="21"/>
      <c r="E145" s="26"/>
      <c r="F145" s="26"/>
      <c r="G145" s="26"/>
      <c r="H145" s="23"/>
      <c r="I145" s="10" t="str">
        <f aca="false">IF($C145="","",G145*H145)</f>
        <v/>
      </c>
      <c r="J145" s="11" t="str">
        <f aca="false">IF(AND($C145&lt;&gt;"",E145&gt;0),F145/E145,"")</f>
        <v/>
      </c>
      <c r="K145" s="11" t="str">
        <f aca="false">IF(AND($C145&lt;&gt;"",F145&gt;0),G145/F145,"")</f>
        <v/>
      </c>
      <c r="L145" s="12" t="str">
        <f aca="false">IF(AND($C145&lt;&gt;"",F145&gt;0),I145/F145,"")</f>
        <v/>
      </c>
      <c r="M145" s="27" t="str">
        <f aca="false">IF($C145="","",IF(OR(F145=0,F145&lt;Settings!$B$5),"Need more data",IF(AND(K145&gt;=Settings!$B$6,L145&gt;=Settings!$B$7),"Keep",IF(AND(K145&lt;Settings!$B$6,L145&lt;Settings!$B$7),"Drop","Watch"))))</f>
        <v/>
      </c>
      <c r="N145" s="27" t="str">
        <f aca="false">IF($C145="","",IF(OR(F145&gt;E145,G145&gt;F145,E145&lt;0,F145&lt;0,G145&lt;0,H145&lt;0),"Check numbers","OK"))</f>
        <v/>
      </c>
    </row>
    <row r="146" customFormat="false" ht="15" hidden="false" customHeight="false" outlineLevel="0" collapsed="false">
      <c r="A146" s="25"/>
      <c r="B146" s="21"/>
      <c r="C146" s="21"/>
      <c r="D146" s="21"/>
      <c r="E146" s="26"/>
      <c r="F146" s="26"/>
      <c r="G146" s="26"/>
      <c r="H146" s="23"/>
      <c r="I146" s="10" t="str">
        <f aca="false">IF($C146="","",G146*H146)</f>
        <v/>
      </c>
      <c r="J146" s="11" t="str">
        <f aca="false">IF(AND($C146&lt;&gt;"",E146&gt;0),F146/E146,"")</f>
        <v/>
      </c>
      <c r="K146" s="11" t="str">
        <f aca="false">IF(AND($C146&lt;&gt;"",F146&gt;0),G146/F146,"")</f>
        <v/>
      </c>
      <c r="L146" s="12" t="str">
        <f aca="false">IF(AND($C146&lt;&gt;"",F146&gt;0),I146/F146,"")</f>
        <v/>
      </c>
      <c r="M146" s="27" t="str">
        <f aca="false">IF($C146="","",IF(OR(F146=0,F146&lt;Settings!$B$5),"Need more data",IF(AND(K146&gt;=Settings!$B$6,L146&gt;=Settings!$B$7),"Keep",IF(AND(K146&lt;Settings!$B$6,L146&lt;Settings!$B$7),"Drop","Watch"))))</f>
        <v/>
      </c>
      <c r="N146" s="27" t="str">
        <f aca="false">IF($C146="","",IF(OR(F146&gt;E146,G146&gt;F146,E146&lt;0,F146&lt;0,G146&lt;0,H146&lt;0),"Check numbers","OK"))</f>
        <v/>
      </c>
    </row>
    <row r="147" customFormat="false" ht="15" hidden="false" customHeight="false" outlineLevel="0" collapsed="false">
      <c r="A147" s="25"/>
      <c r="B147" s="21"/>
      <c r="C147" s="21"/>
      <c r="D147" s="21"/>
      <c r="E147" s="26"/>
      <c r="F147" s="26"/>
      <c r="G147" s="26"/>
      <c r="H147" s="23"/>
      <c r="I147" s="10" t="str">
        <f aca="false">IF($C147="","",G147*H147)</f>
        <v/>
      </c>
      <c r="J147" s="11" t="str">
        <f aca="false">IF(AND($C147&lt;&gt;"",E147&gt;0),F147/E147,"")</f>
        <v/>
      </c>
      <c r="K147" s="11" t="str">
        <f aca="false">IF(AND($C147&lt;&gt;"",F147&gt;0),G147/F147,"")</f>
        <v/>
      </c>
      <c r="L147" s="12" t="str">
        <f aca="false">IF(AND($C147&lt;&gt;"",F147&gt;0),I147/F147,"")</f>
        <v/>
      </c>
      <c r="M147" s="27" t="str">
        <f aca="false">IF($C147="","",IF(OR(F147=0,F147&lt;Settings!$B$5),"Need more data",IF(AND(K147&gt;=Settings!$B$6,L147&gt;=Settings!$B$7),"Keep",IF(AND(K147&lt;Settings!$B$6,L147&lt;Settings!$B$7),"Drop","Watch"))))</f>
        <v/>
      </c>
      <c r="N147" s="27" t="str">
        <f aca="false">IF($C147="","",IF(OR(F147&gt;E147,G147&gt;F147,E147&lt;0,F147&lt;0,G147&lt;0,H147&lt;0),"Check numbers","OK"))</f>
        <v/>
      </c>
    </row>
    <row r="148" customFormat="false" ht="15" hidden="false" customHeight="false" outlineLevel="0" collapsed="false">
      <c r="A148" s="25"/>
      <c r="B148" s="21"/>
      <c r="C148" s="21"/>
      <c r="D148" s="21"/>
      <c r="E148" s="26"/>
      <c r="F148" s="26"/>
      <c r="G148" s="26"/>
      <c r="H148" s="23"/>
      <c r="I148" s="10" t="str">
        <f aca="false">IF($C148="","",G148*H148)</f>
        <v/>
      </c>
      <c r="J148" s="11" t="str">
        <f aca="false">IF(AND($C148&lt;&gt;"",E148&gt;0),F148/E148,"")</f>
        <v/>
      </c>
      <c r="K148" s="11" t="str">
        <f aca="false">IF(AND($C148&lt;&gt;"",F148&gt;0),G148/F148,"")</f>
        <v/>
      </c>
      <c r="L148" s="12" t="str">
        <f aca="false">IF(AND($C148&lt;&gt;"",F148&gt;0),I148/F148,"")</f>
        <v/>
      </c>
      <c r="M148" s="27" t="str">
        <f aca="false">IF($C148="","",IF(OR(F148=0,F148&lt;Settings!$B$5),"Need more data",IF(AND(K148&gt;=Settings!$B$6,L148&gt;=Settings!$B$7),"Keep",IF(AND(K148&lt;Settings!$B$6,L148&lt;Settings!$B$7),"Drop","Watch"))))</f>
        <v/>
      </c>
      <c r="N148" s="27" t="str">
        <f aca="false">IF($C148="","",IF(OR(F148&gt;E148,G148&gt;F148,E148&lt;0,F148&lt;0,G148&lt;0,H148&lt;0),"Check numbers","OK"))</f>
        <v/>
      </c>
    </row>
    <row r="149" customFormat="false" ht="15" hidden="false" customHeight="false" outlineLevel="0" collapsed="false">
      <c r="A149" s="25"/>
      <c r="B149" s="21"/>
      <c r="C149" s="21"/>
      <c r="D149" s="21"/>
      <c r="E149" s="26"/>
      <c r="F149" s="26"/>
      <c r="G149" s="26"/>
      <c r="H149" s="23"/>
      <c r="I149" s="10" t="str">
        <f aca="false">IF($C149="","",G149*H149)</f>
        <v/>
      </c>
      <c r="J149" s="11" t="str">
        <f aca="false">IF(AND($C149&lt;&gt;"",E149&gt;0),F149/E149,"")</f>
        <v/>
      </c>
      <c r="K149" s="11" t="str">
        <f aca="false">IF(AND($C149&lt;&gt;"",F149&gt;0),G149/F149,"")</f>
        <v/>
      </c>
      <c r="L149" s="12" t="str">
        <f aca="false">IF(AND($C149&lt;&gt;"",F149&gt;0),I149/F149,"")</f>
        <v/>
      </c>
      <c r="M149" s="27" t="str">
        <f aca="false">IF($C149="","",IF(OR(F149=0,F149&lt;Settings!$B$5),"Need more data",IF(AND(K149&gt;=Settings!$B$6,L149&gt;=Settings!$B$7),"Keep",IF(AND(K149&lt;Settings!$B$6,L149&lt;Settings!$B$7),"Drop","Watch"))))</f>
        <v/>
      </c>
      <c r="N149" s="27" t="str">
        <f aca="false">IF($C149="","",IF(OR(F149&gt;E149,G149&gt;F149,E149&lt;0,F149&lt;0,G149&lt;0,H149&lt;0),"Check numbers","OK"))</f>
        <v/>
      </c>
    </row>
    <row r="150" customFormat="false" ht="15" hidden="false" customHeight="false" outlineLevel="0" collapsed="false">
      <c r="A150" s="25"/>
      <c r="B150" s="21"/>
      <c r="C150" s="21"/>
      <c r="D150" s="21"/>
      <c r="E150" s="26"/>
      <c r="F150" s="26"/>
      <c r="G150" s="26"/>
      <c r="H150" s="23"/>
      <c r="I150" s="10" t="str">
        <f aca="false">IF($C150="","",G150*H150)</f>
        <v/>
      </c>
      <c r="J150" s="11" t="str">
        <f aca="false">IF(AND($C150&lt;&gt;"",E150&gt;0),F150/E150,"")</f>
        <v/>
      </c>
      <c r="K150" s="11" t="str">
        <f aca="false">IF(AND($C150&lt;&gt;"",F150&gt;0),G150/F150,"")</f>
        <v/>
      </c>
      <c r="L150" s="12" t="str">
        <f aca="false">IF(AND($C150&lt;&gt;"",F150&gt;0),I150/F150,"")</f>
        <v/>
      </c>
      <c r="M150" s="27" t="str">
        <f aca="false">IF($C150="","",IF(OR(F150=0,F150&lt;Settings!$B$5),"Need more data",IF(AND(K150&gt;=Settings!$B$6,L150&gt;=Settings!$B$7),"Keep",IF(AND(K150&lt;Settings!$B$6,L150&lt;Settings!$B$7),"Drop","Watch"))))</f>
        <v/>
      </c>
      <c r="N150" s="27" t="str">
        <f aca="false">IF($C150="","",IF(OR(F150&gt;E150,G150&gt;F150,E150&lt;0,F150&lt;0,G150&lt;0,H150&lt;0),"Check numbers","OK"))</f>
        <v/>
      </c>
    </row>
    <row r="151" customFormat="false" ht="15" hidden="false" customHeight="false" outlineLevel="0" collapsed="false">
      <c r="A151" s="25"/>
      <c r="B151" s="21"/>
      <c r="C151" s="21"/>
      <c r="D151" s="21"/>
      <c r="E151" s="26"/>
      <c r="F151" s="26"/>
      <c r="G151" s="26"/>
      <c r="H151" s="23"/>
      <c r="I151" s="10" t="str">
        <f aca="false">IF($C151="","",G151*H151)</f>
        <v/>
      </c>
      <c r="J151" s="11" t="str">
        <f aca="false">IF(AND($C151&lt;&gt;"",E151&gt;0),F151/E151,"")</f>
        <v/>
      </c>
      <c r="K151" s="11" t="str">
        <f aca="false">IF(AND($C151&lt;&gt;"",F151&gt;0),G151/F151,"")</f>
        <v/>
      </c>
      <c r="L151" s="12" t="str">
        <f aca="false">IF(AND($C151&lt;&gt;"",F151&gt;0),I151/F151,"")</f>
        <v/>
      </c>
      <c r="M151" s="27" t="str">
        <f aca="false">IF($C151="","",IF(OR(F151=0,F151&lt;Settings!$B$5),"Need more data",IF(AND(K151&gt;=Settings!$B$6,L151&gt;=Settings!$B$7),"Keep",IF(AND(K151&lt;Settings!$B$6,L151&lt;Settings!$B$7),"Drop","Watch"))))</f>
        <v/>
      </c>
      <c r="N151" s="27" t="str">
        <f aca="false">IF($C151="","",IF(OR(F151&gt;E151,G151&gt;F151,E151&lt;0,F151&lt;0,G151&lt;0,H151&lt;0),"Check numbers","OK"))</f>
        <v/>
      </c>
    </row>
    <row r="152" customFormat="false" ht="15" hidden="false" customHeight="false" outlineLevel="0" collapsed="false">
      <c r="A152" s="25"/>
      <c r="B152" s="21"/>
      <c r="C152" s="21"/>
      <c r="D152" s="21"/>
      <c r="E152" s="26"/>
      <c r="F152" s="26"/>
      <c r="G152" s="26"/>
      <c r="H152" s="23"/>
      <c r="I152" s="10" t="str">
        <f aca="false">IF($C152="","",G152*H152)</f>
        <v/>
      </c>
      <c r="J152" s="11" t="str">
        <f aca="false">IF(AND($C152&lt;&gt;"",E152&gt;0),F152/E152,"")</f>
        <v/>
      </c>
      <c r="K152" s="11" t="str">
        <f aca="false">IF(AND($C152&lt;&gt;"",F152&gt;0),G152/F152,"")</f>
        <v/>
      </c>
      <c r="L152" s="12" t="str">
        <f aca="false">IF(AND($C152&lt;&gt;"",F152&gt;0),I152/F152,"")</f>
        <v/>
      </c>
      <c r="M152" s="27" t="str">
        <f aca="false">IF($C152="","",IF(OR(F152=0,F152&lt;Settings!$B$5),"Need more data",IF(AND(K152&gt;=Settings!$B$6,L152&gt;=Settings!$B$7),"Keep",IF(AND(K152&lt;Settings!$B$6,L152&lt;Settings!$B$7),"Drop","Watch"))))</f>
        <v/>
      </c>
      <c r="N152" s="27" t="str">
        <f aca="false">IF($C152="","",IF(OR(F152&gt;E152,G152&gt;F152,E152&lt;0,F152&lt;0,G152&lt;0,H152&lt;0),"Check numbers","OK"))</f>
        <v/>
      </c>
    </row>
    <row r="153" customFormat="false" ht="15" hidden="false" customHeight="false" outlineLevel="0" collapsed="false">
      <c r="A153" s="25"/>
      <c r="B153" s="21"/>
      <c r="C153" s="21"/>
      <c r="D153" s="21"/>
      <c r="E153" s="26"/>
      <c r="F153" s="26"/>
      <c r="G153" s="26"/>
      <c r="H153" s="23"/>
      <c r="I153" s="10" t="str">
        <f aca="false">IF($C153="","",G153*H153)</f>
        <v/>
      </c>
      <c r="J153" s="11" t="str">
        <f aca="false">IF(AND($C153&lt;&gt;"",E153&gt;0),F153/E153,"")</f>
        <v/>
      </c>
      <c r="K153" s="11" t="str">
        <f aca="false">IF(AND($C153&lt;&gt;"",F153&gt;0),G153/F153,"")</f>
        <v/>
      </c>
      <c r="L153" s="12" t="str">
        <f aca="false">IF(AND($C153&lt;&gt;"",F153&gt;0),I153/F153,"")</f>
        <v/>
      </c>
      <c r="M153" s="27" t="str">
        <f aca="false">IF($C153="","",IF(OR(F153=0,F153&lt;Settings!$B$5),"Need more data",IF(AND(K153&gt;=Settings!$B$6,L153&gt;=Settings!$B$7),"Keep",IF(AND(K153&lt;Settings!$B$6,L153&lt;Settings!$B$7),"Drop","Watch"))))</f>
        <v/>
      </c>
      <c r="N153" s="27" t="str">
        <f aca="false">IF($C153="","",IF(OR(F153&gt;E153,G153&gt;F153,E153&lt;0,F153&lt;0,G153&lt;0,H153&lt;0),"Check numbers","OK"))</f>
        <v/>
      </c>
    </row>
    <row r="154" customFormat="false" ht="15" hidden="false" customHeight="false" outlineLevel="0" collapsed="false">
      <c r="A154" s="25"/>
      <c r="B154" s="21"/>
      <c r="C154" s="21"/>
      <c r="D154" s="21"/>
      <c r="E154" s="26"/>
      <c r="F154" s="26"/>
      <c r="G154" s="26"/>
      <c r="H154" s="23"/>
      <c r="I154" s="10" t="str">
        <f aca="false">IF($C154="","",G154*H154)</f>
        <v/>
      </c>
      <c r="J154" s="11" t="str">
        <f aca="false">IF(AND($C154&lt;&gt;"",E154&gt;0),F154/E154,"")</f>
        <v/>
      </c>
      <c r="K154" s="11" t="str">
        <f aca="false">IF(AND($C154&lt;&gt;"",F154&gt;0),G154/F154,"")</f>
        <v/>
      </c>
      <c r="L154" s="12" t="str">
        <f aca="false">IF(AND($C154&lt;&gt;"",F154&gt;0),I154/F154,"")</f>
        <v/>
      </c>
      <c r="M154" s="27" t="str">
        <f aca="false">IF($C154="","",IF(OR(F154=0,F154&lt;Settings!$B$5),"Need more data",IF(AND(K154&gt;=Settings!$B$6,L154&gt;=Settings!$B$7),"Keep",IF(AND(K154&lt;Settings!$B$6,L154&lt;Settings!$B$7),"Drop","Watch"))))</f>
        <v/>
      </c>
      <c r="N154" s="27" t="str">
        <f aca="false">IF($C154="","",IF(OR(F154&gt;E154,G154&gt;F154,E154&lt;0,F154&lt;0,G154&lt;0,H154&lt;0),"Check numbers","OK"))</f>
        <v/>
      </c>
    </row>
    <row r="155" customFormat="false" ht="15" hidden="false" customHeight="false" outlineLevel="0" collapsed="false">
      <c r="A155" s="25"/>
      <c r="B155" s="21"/>
      <c r="C155" s="21"/>
      <c r="D155" s="21"/>
      <c r="E155" s="26"/>
      <c r="F155" s="26"/>
      <c r="G155" s="26"/>
      <c r="H155" s="23"/>
      <c r="I155" s="10" t="str">
        <f aca="false">IF($C155="","",G155*H155)</f>
        <v/>
      </c>
      <c r="J155" s="11" t="str">
        <f aca="false">IF(AND($C155&lt;&gt;"",E155&gt;0),F155/E155,"")</f>
        <v/>
      </c>
      <c r="K155" s="11" t="str">
        <f aca="false">IF(AND($C155&lt;&gt;"",F155&gt;0),G155/F155,"")</f>
        <v/>
      </c>
      <c r="L155" s="12" t="str">
        <f aca="false">IF(AND($C155&lt;&gt;"",F155&gt;0),I155/F155,"")</f>
        <v/>
      </c>
      <c r="M155" s="27" t="str">
        <f aca="false">IF($C155="","",IF(OR(F155=0,F155&lt;Settings!$B$5),"Need more data",IF(AND(K155&gt;=Settings!$B$6,L155&gt;=Settings!$B$7),"Keep",IF(AND(K155&lt;Settings!$B$6,L155&lt;Settings!$B$7),"Drop","Watch"))))</f>
        <v/>
      </c>
      <c r="N155" s="27" t="str">
        <f aca="false">IF($C155="","",IF(OR(F155&gt;E155,G155&gt;F155,E155&lt;0,F155&lt;0,G155&lt;0,H155&lt;0),"Check numbers","OK"))</f>
        <v/>
      </c>
    </row>
    <row r="156" customFormat="false" ht="15" hidden="false" customHeight="false" outlineLevel="0" collapsed="false">
      <c r="A156" s="25"/>
      <c r="B156" s="21"/>
      <c r="C156" s="21"/>
      <c r="D156" s="21"/>
      <c r="E156" s="26"/>
      <c r="F156" s="26"/>
      <c r="G156" s="26"/>
      <c r="H156" s="23"/>
      <c r="I156" s="10" t="str">
        <f aca="false">IF($C156="","",G156*H156)</f>
        <v/>
      </c>
      <c r="J156" s="11" t="str">
        <f aca="false">IF(AND($C156&lt;&gt;"",E156&gt;0),F156/E156,"")</f>
        <v/>
      </c>
      <c r="K156" s="11" t="str">
        <f aca="false">IF(AND($C156&lt;&gt;"",F156&gt;0),G156/F156,"")</f>
        <v/>
      </c>
      <c r="L156" s="12" t="str">
        <f aca="false">IF(AND($C156&lt;&gt;"",F156&gt;0),I156/F156,"")</f>
        <v/>
      </c>
      <c r="M156" s="27" t="str">
        <f aca="false">IF($C156="","",IF(OR(F156=0,F156&lt;Settings!$B$5),"Need more data",IF(AND(K156&gt;=Settings!$B$6,L156&gt;=Settings!$B$7),"Keep",IF(AND(K156&lt;Settings!$B$6,L156&lt;Settings!$B$7),"Drop","Watch"))))</f>
        <v/>
      </c>
      <c r="N156" s="27" t="str">
        <f aca="false">IF($C156="","",IF(OR(F156&gt;E156,G156&gt;F156,E156&lt;0,F156&lt;0,G156&lt;0,H156&lt;0),"Check numbers","OK"))</f>
        <v/>
      </c>
    </row>
    <row r="157" customFormat="false" ht="15" hidden="false" customHeight="false" outlineLevel="0" collapsed="false">
      <c r="A157" s="25"/>
      <c r="B157" s="21"/>
      <c r="C157" s="21"/>
      <c r="D157" s="21"/>
      <c r="E157" s="26"/>
      <c r="F157" s="26"/>
      <c r="G157" s="26"/>
      <c r="H157" s="23"/>
      <c r="I157" s="10" t="str">
        <f aca="false">IF($C157="","",G157*H157)</f>
        <v/>
      </c>
      <c r="J157" s="11" t="str">
        <f aca="false">IF(AND($C157&lt;&gt;"",E157&gt;0),F157/E157,"")</f>
        <v/>
      </c>
      <c r="K157" s="11" t="str">
        <f aca="false">IF(AND($C157&lt;&gt;"",F157&gt;0),G157/F157,"")</f>
        <v/>
      </c>
      <c r="L157" s="12" t="str">
        <f aca="false">IF(AND($C157&lt;&gt;"",F157&gt;0),I157/F157,"")</f>
        <v/>
      </c>
      <c r="M157" s="27" t="str">
        <f aca="false">IF($C157="","",IF(OR(F157=0,F157&lt;Settings!$B$5),"Need more data",IF(AND(K157&gt;=Settings!$B$6,L157&gt;=Settings!$B$7),"Keep",IF(AND(K157&lt;Settings!$B$6,L157&lt;Settings!$B$7),"Drop","Watch"))))</f>
        <v/>
      </c>
      <c r="N157" s="27" t="str">
        <f aca="false">IF($C157="","",IF(OR(F157&gt;E157,G157&gt;F157,E157&lt;0,F157&lt;0,G157&lt;0,H157&lt;0),"Check numbers","OK"))</f>
        <v/>
      </c>
    </row>
    <row r="158" customFormat="false" ht="15" hidden="false" customHeight="false" outlineLevel="0" collapsed="false">
      <c r="A158" s="25"/>
      <c r="B158" s="21"/>
      <c r="C158" s="21"/>
      <c r="D158" s="21"/>
      <c r="E158" s="26"/>
      <c r="F158" s="26"/>
      <c r="G158" s="26"/>
      <c r="H158" s="23"/>
      <c r="I158" s="10" t="str">
        <f aca="false">IF($C158="","",G158*H158)</f>
        <v/>
      </c>
      <c r="J158" s="11" t="str">
        <f aca="false">IF(AND($C158&lt;&gt;"",E158&gt;0),F158/E158,"")</f>
        <v/>
      </c>
      <c r="K158" s="11" t="str">
        <f aca="false">IF(AND($C158&lt;&gt;"",F158&gt;0),G158/F158,"")</f>
        <v/>
      </c>
      <c r="L158" s="12" t="str">
        <f aca="false">IF(AND($C158&lt;&gt;"",F158&gt;0),I158/F158,"")</f>
        <v/>
      </c>
      <c r="M158" s="27" t="str">
        <f aca="false">IF($C158="","",IF(OR(F158=0,F158&lt;Settings!$B$5),"Need more data",IF(AND(K158&gt;=Settings!$B$6,L158&gt;=Settings!$B$7),"Keep",IF(AND(K158&lt;Settings!$B$6,L158&lt;Settings!$B$7),"Drop","Watch"))))</f>
        <v/>
      </c>
      <c r="N158" s="27" t="str">
        <f aca="false">IF($C158="","",IF(OR(F158&gt;E158,G158&gt;F158,E158&lt;0,F158&lt;0,G158&lt;0,H158&lt;0),"Check numbers","OK"))</f>
        <v/>
      </c>
    </row>
    <row r="159" customFormat="false" ht="15" hidden="false" customHeight="false" outlineLevel="0" collapsed="false">
      <c r="A159" s="25"/>
      <c r="B159" s="21"/>
      <c r="C159" s="21"/>
      <c r="D159" s="21"/>
      <c r="E159" s="26"/>
      <c r="F159" s="26"/>
      <c r="G159" s="26"/>
      <c r="H159" s="23"/>
      <c r="I159" s="10" t="str">
        <f aca="false">IF($C159="","",G159*H159)</f>
        <v/>
      </c>
      <c r="J159" s="11" t="str">
        <f aca="false">IF(AND($C159&lt;&gt;"",E159&gt;0),F159/E159,"")</f>
        <v/>
      </c>
      <c r="K159" s="11" t="str">
        <f aca="false">IF(AND($C159&lt;&gt;"",F159&gt;0),G159/F159,"")</f>
        <v/>
      </c>
      <c r="L159" s="12" t="str">
        <f aca="false">IF(AND($C159&lt;&gt;"",F159&gt;0),I159/F159,"")</f>
        <v/>
      </c>
      <c r="M159" s="27" t="str">
        <f aca="false">IF($C159="","",IF(OR(F159=0,F159&lt;Settings!$B$5),"Need more data",IF(AND(K159&gt;=Settings!$B$6,L159&gt;=Settings!$B$7),"Keep",IF(AND(K159&lt;Settings!$B$6,L159&lt;Settings!$B$7),"Drop","Watch"))))</f>
        <v/>
      </c>
      <c r="N159" s="27" t="str">
        <f aca="false">IF($C159="","",IF(OR(F159&gt;E159,G159&gt;F159,E159&lt;0,F159&lt;0,G159&lt;0,H159&lt;0),"Check numbers","OK"))</f>
        <v/>
      </c>
    </row>
    <row r="160" customFormat="false" ht="15" hidden="false" customHeight="false" outlineLevel="0" collapsed="false">
      <c r="A160" s="25"/>
      <c r="B160" s="21"/>
      <c r="C160" s="21"/>
      <c r="D160" s="21"/>
      <c r="E160" s="26"/>
      <c r="F160" s="26"/>
      <c r="G160" s="26"/>
      <c r="H160" s="23"/>
      <c r="I160" s="10" t="str">
        <f aca="false">IF($C160="","",G160*H160)</f>
        <v/>
      </c>
      <c r="J160" s="11" t="str">
        <f aca="false">IF(AND($C160&lt;&gt;"",E160&gt;0),F160/E160,"")</f>
        <v/>
      </c>
      <c r="K160" s="11" t="str">
        <f aca="false">IF(AND($C160&lt;&gt;"",F160&gt;0),G160/F160,"")</f>
        <v/>
      </c>
      <c r="L160" s="12" t="str">
        <f aca="false">IF(AND($C160&lt;&gt;"",F160&gt;0),I160/F160,"")</f>
        <v/>
      </c>
      <c r="M160" s="27" t="str">
        <f aca="false">IF($C160="","",IF(OR(F160=0,F160&lt;Settings!$B$5),"Need more data",IF(AND(K160&gt;=Settings!$B$6,L160&gt;=Settings!$B$7),"Keep",IF(AND(K160&lt;Settings!$B$6,L160&lt;Settings!$B$7),"Drop","Watch"))))</f>
        <v/>
      </c>
      <c r="N160" s="27" t="str">
        <f aca="false">IF($C160="","",IF(OR(F160&gt;E160,G160&gt;F160,E160&lt;0,F160&lt;0,G160&lt;0,H160&lt;0),"Check numbers","OK"))</f>
        <v/>
      </c>
    </row>
    <row r="161" customFormat="false" ht="15" hidden="false" customHeight="false" outlineLevel="0" collapsed="false">
      <c r="A161" s="25"/>
      <c r="B161" s="21"/>
      <c r="C161" s="21"/>
      <c r="D161" s="21"/>
      <c r="E161" s="26"/>
      <c r="F161" s="26"/>
      <c r="G161" s="26"/>
      <c r="H161" s="23"/>
      <c r="I161" s="10" t="str">
        <f aca="false">IF($C161="","",G161*H161)</f>
        <v/>
      </c>
      <c r="J161" s="11" t="str">
        <f aca="false">IF(AND($C161&lt;&gt;"",E161&gt;0),F161/E161,"")</f>
        <v/>
      </c>
      <c r="K161" s="11" t="str">
        <f aca="false">IF(AND($C161&lt;&gt;"",F161&gt;0),G161/F161,"")</f>
        <v/>
      </c>
      <c r="L161" s="12" t="str">
        <f aca="false">IF(AND($C161&lt;&gt;"",F161&gt;0),I161/F161,"")</f>
        <v/>
      </c>
      <c r="M161" s="27" t="str">
        <f aca="false">IF($C161="","",IF(OR(F161=0,F161&lt;Settings!$B$5),"Need more data",IF(AND(K161&gt;=Settings!$B$6,L161&gt;=Settings!$B$7),"Keep",IF(AND(K161&lt;Settings!$B$6,L161&lt;Settings!$B$7),"Drop","Watch"))))</f>
        <v/>
      </c>
      <c r="N161" s="27" t="str">
        <f aca="false">IF($C161="","",IF(OR(F161&gt;E161,G161&gt;F161,E161&lt;0,F161&lt;0,G161&lt;0,H161&lt;0),"Check numbers","OK"))</f>
        <v/>
      </c>
    </row>
    <row r="162" customFormat="false" ht="15" hidden="false" customHeight="false" outlineLevel="0" collapsed="false">
      <c r="A162" s="25"/>
      <c r="B162" s="21"/>
      <c r="C162" s="21"/>
      <c r="D162" s="21"/>
      <c r="E162" s="26"/>
      <c r="F162" s="26"/>
      <c r="G162" s="26"/>
      <c r="H162" s="23"/>
      <c r="I162" s="10" t="str">
        <f aca="false">IF($C162="","",G162*H162)</f>
        <v/>
      </c>
      <c r="J162" s="11" t="str">
        <f aca="false">IF(AND($C162&lt;&gt;"",E162&gt;0),F162/E162,"")</f>
        <v/>
      </c>
      <c r="K162" s="11" t="str">
        <f aca="false">IF(AND($C162&lt;&gt;"",F162&gt;0),G162/F162,"")</f>
        <v/>
      </c>
      <c r="L162" s="12" t="str">
        <f aca="false">IF(AND($C162&lt;&gt;"",F162&gt;0),I162/F162,"")</f>
        <v/>
      </c>
      <c r="M162" s="27" t="str">
        <f aca="false">IF($C162="","",IF(OR(F162=0,F162&lt;Settings!$B$5),"Need more data",IF(AND(K162&gt;=Settings!$B$6,L162&gt;=Settings!$B$7),"Keep",IF(AND(K162&lt;Settings!$B$6,L162&lt;Settings!$B$7),"Drop","Watch"))))</f>
        <v/>
      </c>
      <c r="N162" s="27" t="str">
        <f aca="false">IF($C162="","",IF(OR(F162&gt;E162,G162&gt;F162,E162&lt;0,F162&lt;0,G162&lt;0,H162&lt;0),"Check numbers","OK"))</f>
        <v/>
      </c>
    </row>
    <row r="163" customFormat="false" ht="15" hidden="false" customHeight="false" outlineLevel="0" collapsed="false">
      <c r="A163" s="25"/>
      <c r="B163" s="21"/>
      <c r="C163" s="21"/>
      <c r="D163" s="21"/>
      <c r="E163" s="26"/>
      <c r="F163" s="26"/>
      <c r="G163" s="26"/>
      <c r="H163" s="23"/>
      <c r="I163" s="10" t="str">
        <f aca="false">IF($C163="","",G163*H163)</f>
        <v/>
      </c>
      <c r="J163" s="11" t="str">
        <f aca="false">IF(AND($C163&lt;&gt;"",E163&gt;0),F163/E163,"")</f>
        <v/>
      </c>
      <c r="K163" s="11" t="str">
        <f aca="false">IF(AND($C163&lt;&gt;"",F163&gt;0),G163/F163,"")</f>
        <v/>
      </c>
      <c r="L163" s="12" t="str">
        <f aca="false">IF(AND($C163&lt;&gt;"",F163&gt;0),I163/F163,"")</f>
        <v/>
      </c>
      <c r="M163" s="27" t="str">
        <f aca="false">IF($C163="","",IF(OR(F163=0,F163&lt;Settings!$B$5),"Need more data",IF(AND(K163&gt;=Settings!$B$6,L163&gt;=Settings!$B$7),"Keep",IF(AND(K163&lt;Settings!$B$6,L163&lt;Settings!$B$7),"Drop","Watch"))))</f>
        <v/>
      </c>
      <c r="N163" s="27" t="str">
        <f aca="false">IF($C163="","",IF(OR(F163&gt;E163,G163&gt;F163,E163&lt;0,F163&lt;0,G163&lt;0,H163&lt;0),"Check numbers","OK"))</f>
        <v/>
      </c>
    </row>
    <row r="164" customFormat="false" ht="15" hidden="false" customHeight="false" outlineLevel="0" collapsed="false">
      <c r="A164" s="25"/>
      <c r="B164" s="21"/>
      <c r="C164" s="21"/>
      <c r="D164" s="21"/>
      <c r="E164" s="26"/>
      <c r="F164" s="26"/>
      <c r="G164" s="26"/>
      <c r="H164" s="23"/>
      <c r="I164" s="10" t="str">
        <f aca="false">IF($C164="","",G164*H164)</f>
        <v/>
      </c>
      <c r="J164" s="11" t="str">
        <f aca="false">IF(AND($C164&lt;&gt;"",E164&gt;0),F164/E164,"")</f>
        <v/>
      </c>
      <c r="K164" s="11" t="str">
        <f aca="false">IF(AND($C164&lt;&gt;"",F164&gt;0),G164/F164,"")</f>
        <v/>
      </c>
      <c r="L164" s="12" t="str">
        <f aca="false">IF(AND($C164&lt;&gt;"",F164&gt;0),I164/F164,"")</f>
        <v/>
      </c>
      <c r="M164" s="27" t="str">
        <f aca="false">IF($C164="","",IF(OR(F164=0,F164&lt;Settings!$B$5),"Need more data",IF(AND(K164&gt;=Settings!$B$6,L164&gt;=Settings!$B$7),"Keep",IF(AND(K164&lt;Settings!$B$6,L164&lt;Settings!$B$7),"Drop","Watch"))))</f>
        <v/>
      </c>
      <c r="N164" s="27" t="str">
        <f aca="false">IF($C164="","",IF(OR(F164&gt;E164,G164&gt;F164,E164&lt;0,F164&lt;0,G164&lt;0,H164&lt;0),"Check numbers","OK"))</f>
        <v/>
      </c>
    </row>
    <row r="165" customFormat="false" ht="15" hidden="false" customHeight="false" outlineLevel="0" collapsed="false">
      <c r="A165" s="25"/>
      <c r="B165" s="21"/>
      <c r="C165" s="21"/>
      <c r="D165" s="21"/>
      <c r="E165" s="26"/>
      <c r="F165" s="26"/>
      <c r="G165" s="26"/>
      <c r="H165" s="23"/>
      <c r="I165" s="10" t="str">
        <f aca="false">IF($C165="","",G165*H165)</f>
        <v/>
      </c>
      <c r="J165" s="11" t="str">
        <f aca="false">IF(AND($C165&lt;&gt;"",E165&gt;0),F165/E165,"")</f>
        <v/>
      </c>
      <c r="K165" s="11" t="str">
        <f aca="false">IF(AND($C165&lt;&gt;"",F165&gt;0),G165/F165,"")</f>
        <v/>
      </c>
      <c r="L165" s="12" t="str">
        <f aca="false">IF(AND($C165&lt;&gt;"",F165&gt;0),I165/F165,"")</f>
        <v/>
      </c>
      <c r="M165" s="27" t="str">
        <f aca="false">IF($C165="","",IF(OR(F165=0,F165&lt;Settings!$B$5),"Need more data",IF(AND(K165&gt;=Settings!$B$6,L165&gt;=Settings!$B$7),"Keep",IF(AND(K165&lt;Settings!$B$6,L165&lt;Settings!$B$7),"Drop","Watch"))))</f>
        <v/>
      </c>
      <c r="N165" s="27" t="str">
        <f aca="false">IF($C165="","",IF(OR(F165&gt;E165,G165&gt;F165,E165&lt;0,F165&lt;0,G165&lt;0,H165&lt;0),"Check numbers","OK"))</f>
        <v/>
      </c>
    </row>
    <row r="166" customFormat="false" ht="15" hidden="false" customHeight="false" outlineLevel="0" collapsed="false">
      <c r="A166" s="25"/>
      <c r="B166" s="21"/>
      <c r="C166" s="21"/>
      <c r="D166" s="21"/>
      <c r="E166" s="26"/>
      <c r="F166" s="26"/>
      <c r="G166" s="26"/>
      <c r="H166" s="23"/>
      <c r="I166" s="10" t="str">
        <f aca="false">IF($C166="","",G166*H166)</f>
        <v/>
      </c>
      <c r="J166" s="11" t="str">
        <f aca="false">IF(AND($C166&lt;&gt;"",E166&gt;0),F166/E166,"")</f>
        <v/>
      </c>
      <c r="K166" s="11" t="str">
        <f aca="false">IF(AND($C166&lt;&gt;"",F166&gt;0),G166/F166,"")</f>
        <v/>
      </c>
      <c r="L166" s="12" t="str">
        <f aca="false">IF(AND($C166&lt;&gt;"",F166&gt;0),I166/F166,"")</f>
        <v/>
      </c>
      <c r="M166" s="27" t="str">
        <f aca="false">IF($C166="","",IF(OR(F166=0,F166&lt;Settings!$B$5),"Need more data",IF(AND(K166&gt;=Settings!$B$6,L166&gt;=Settings!$B$7),"Keep",IF(AND(K166&lt;Settings!$B$6,L166&lt;Settings!$B$7),"Drop","Watch"))))</f>
        <v/>
      </c>
      <c r="N166" s="27" t="str">
        <f aca="false">IF($C166="","",IF(OR(F166&gt;E166,G166&gt;F166,E166&lt;0,F166&lt;0,G166&lt;0,H166&lt;0),"Check numbers","OK"))</f>
        <v/>
      </c>
    </row>
    <row r="167" customFormat="false" ht="15" hidden="false" customHeight="false" outlineLevel="0" collapsed="false">
      <c r="A167" s="25"/>
      <c r="B167" s="21"/>
      <c r="C167" s="21"/>
      <c r="D167" s="21"/>
      <c r="E167" s="26"/>
      <c r="F167" s="26"/>
      <c r="G167" s="26"/>
      <c r="H167" s="23"/>
      <c r="I167" s="10" t="str">
        <f aca="false">IF($C167="","",G167*H167)</f>
        <v/>
      </c>
      <c r="J167" s="11" t="str">
        <f aca="false">IF(AND($C167&lt;&gt;"",E167&gt;0),F167/E167,"")</f>
        <v/>
      </c>
      <c r="K167" s="11" t="str">
        <f aca="false">IF(AND($C167&lt;&gt;"",F167&gt;0),G167/F167,"")</f>
        <v/>
      </c>
      <c r="L167" s="12" t="str">
        <f aca="false">IF(AND($C167&lt;&gt;"",F167&gt;0),I167/F167,"")</f>
        <v/>
      </c>
      <c r="M167" s="27" t="str">
        <f aca="false">IF($C167="","",IF(OR(F167=0,F167&lt;Settings!$B$5),"Need more data",IF(AND(K167&gt;=Settings!$B$6,L167&gt;=Settings!$B$7),"Keep",IF(AND(K167&lt;Settings!$B$6,L167&lt;Settings!$B$7),"Drop","Watch"))))</f>
        <v/>
      </c>
      <c r="N167" s="27" t="str">
        <f aca="false">IF($C167="","",IF(OR(F167&gt;E167,G167&gt;F167,E167&lt;0,F167&lt;0,G167&lt;0,H167&lt;0),"Check numbers","OK"))</f>
        <v/>
      </c>
    </row>
    <row r="168" customFormat="false" ht="15" hidden="false" customHeight="false" outlineLevel="0" collapsed="false">
      <c r="A168" s="25"/>
      <c r="B168" s="21"/>
      <c r="C168" s="21"/>
      <c r="D168" s="21"/>
      <c r="E168" s="26"/>
      <c r="F168" s="26"/>
      <c r="G168" s="26"/>
      <c r="H168" s="23"/>
      <c r="I168" s="10" t="str">
        <f aca="false">IF($C168="","",G168*H168)</f>
        <v/>
      </c>
      <c r="J168" s="11" t="str">
        <f aca="false">IF(AND($C168&lt;&gt;"",E168&gt;0),F168/E168,"")</f>
        <v/>
      </c>
      <c r="K168" s="11" t="str">
        <f aca="false">IF(AND($C168&lt;&gt;"",F168&gt;0),G168/F168,"")</f>
        <v/>
      </c>
      <c r="L168" s="12" t="str">
        <f aca="false">IF(AND($C168&lt;&gt;"",F168&gt;0),I168/F168,"")</f>
        <v/>
      </c>
      <c r="M168" s="27" t="str">
        <f aca="false">IF($C168="","",IF(OR(F168=0,F168&lt;Settings!$B$5),"Need more data",IF(AND(K168&gt;=Settings!$B$6,L168&gt;=Settings!$B$7),"Keep",IF(AND(K168&lt;Settings!$B$6,L168&lt;Settings!$B$7),"Drop","Watch"))))</f>
        <v/>
      </c>
      <c r="N168" s="27" t="str">
        <f aca="false">IF($C168="","",IF(OR(F168&gt;E168,G168&gt;F168,E168&lt;0,F168&lt;0,G168&lt;0,H168&lt;0),"Check numbers","OK"))</f>
        <v/>
      </c>
    </row>
    <row r="169" customFormat="false" ht="15" hidden="false" customHeight="false" outlineLevel="0" collapsed="false">
      <c r="A169" s="25"/>
      <c r="B169" s="21"/>
      <c r="C169" s="21"/>
      <c r="D169" s="21"/>
      <c r="E169" s="26"/>
      <c r="F169" s="26"/>
      <c r="G169" s="26"/>
      <c r="H169" s="23"/>
      <c r="I169" s="10" t="str">
        <f aca="false">IF($C169="","",G169*H169)</f>
        <v/>
      </c>
      <c r="J169" s="11" t="str">
        <f aca="false">IF(AND($C169&lt;&gt;"",E169&gt;0),F169/E169,"")</f>
        <v/>
      </c>
      <c r="K169" s="11" t="str">
        <f aca="false">IF(AND($C169&lt;&gt;"",F169&gt;0),G169/F169,"")</f>
        <v/>
      </c>
      <c r="L169" s="12" t="str">
        <f aca="false">IF(AND($C169&lt;&gt;"",F169&gt;0),I169/F169,"")</f>
        <v/>
      </c>
      <c r="M169" s="27" t="str">
        <f aca="false">IF($C169="","",IF(OR(F169=0,F169&lt;Settings!$B$5),"Need more data",IF(AND(K169&gt;=Settings!$B$6,L169&gt;=Settings!$B$7),"Keep",IF(AND(K169&lt;Settings!$B$6,L169&lt;Settings!$B$7),"Drop","Watch"))))</f>
        <v/>
      </c>
      <c r="N169" s="27" t="str">
        <f aca="false">IF($C169="","",IF(OR(F169&gt;E169,G169&gt;F169,E169&lt;0,F169&lt;0,G169&lt;0,H169&lt;0),"Check numbers","OK"))</f>
        <v/>
      </c>
    </row>
    <row r="170" customFormat="false" ht="15" hidden="false" customHeight="false" outlineLevel="0" collapsed="false">
      <c r="A170" s="25"/>
      <c r="B170" s="21"/>
      <c r="C170" s="21"/>
      <c r="D170" s="21"/>
      <c r="E170" s="26"/>
      <c r="F170" s="26"/>
      <c r="G170" s="26"/>
      <c r="H170" s="23"/>
      <c r="I170" s="10" t="str">
        <f aca="false">IF($C170="","",G170*H170)</f>
        <v/>
      </c>
      <c r="J170" s="11" t="str">
        <f aca="false">IF(AND($C170&lt;&gt;"",E170&gt;0),F170/E170,"")</f>
        <v/>
      </c>
      <c r="K170" s="11" t="str">
        <f aca="false">IF(AND($C170&lt;&gt;"",F170&gt;0),G170/F170,"")</f>
        <v/>
      </c>
      <c r="L170" s="12" t="str">
        <f aca="false">IF(AND($C170&lt;&gt;"",F170&gt;0),I170/F170,"")</f>
        <v/>
      </c>
      <c r="M170" s="27" t="str">
        <f aca="false">IF($C170="","",IF(OR(F170=0,F170&lt;Settings!$B$5),"Need more data",IF(AND(K170&gt;=Settings!$B$6,L170&gt;=Settings!$B$7),"Keep",IF(AND(K170&lt;Settings!$B$6,L170&lt;Settings!$B$7),"Drop","Watch"))))</f>
        <v/>
      </c>
      <c r="N170" s="27" t="str">
        <f aca="false">IF($C170="","",IF(OR(F170&gt;E170,G170&gt;F170,E170&lt;0,F170&lt;0,G170&lt;0,H170&lt;0),"Check numbers","OK"))</f>
        <v/>
      </c>
    </row>
    <row r="171" customFormat="false" ht="15" hidden="false" customHeight="false" outlineLevel="0" collapsed="false">
      <c r="A171" s="25"/>
      <c r="B171" s="21"/>
      <c r="C171" s="21"/>
      <c r="D171" s="21"/>
      <c r="E171" s="26"/>
      <c r="F171" s="26"/>
      <c r="G171" s="26"/>
      <c r="H171" s="23"/>
      <c r="I171" s="10" t="str">
        <f aca="false">IF($C171="","",G171*H171)</f>
        <v/>
      </c>
      <c r="J171" s="11" t="str">
        <f aca="false">IF(AND($C171&lt;&gt;"",E171&gt;0),F171/E171,"")</f>
        <v/>
      </c>
      <c r="K171" s="11" t="str">
        <f aca="false">IF(AND($C171&lt;&gt;"",F171&gt;0),G171/F171,"")</f>
        <v/>
      </c>
      <c r="L171" s="12" t="str">
        <f aca="false">IF(AND($C171&lt;&gt;"",F171&gt;0),I171/F171,"")</f>
        <v/>
      </c>
      <c r="M171" s="27" t="str">
        <f aca="false">IF($C171="","",IF(OR(F171=0,F171&lt;Settings!$B$5),"Need more data",IF(AND(K171&gt;=Settings!$B$6,L171&gt;=Settings!$B$7),"Keep",IF(AND(K171&lt;Settings!$B$6,L171&lt;Settings!$B$7),"Drop","Watch"))))</f>
        <v/>
      </c>
      <c r="N171" s="27" t="str">
        <f aca="false">IF($C171="","",IF(OR(F171&gt;E171,G171&gt;F171,E171&lt;0,F171&lt;0,G171&lt;0,H171&lt;0),"Check numbers","OK"))</f>
        <v/>
      </c>
    </row>
    <row r="172" customFormat="false" ht="15" hidden="false" customHeight="false" outlineLevel="0" collapsed="false">
      <c r="A172" s="25"/>
      <c r="B172" s="21"/>
      <c r="C172" s="21"/>
      <c r="D172" s="21"/>
      <c r="E172" s="26"/>
      <c r="F172" s="26"/>
      <c r="G172" s="26"/>
      <c r="H172" s="23"/>
      <c r="I172" s="10" t="str">
        <f aca="false">IF($C172="","",G172*H172)</f>
        <v/>
      </c>
      <c r="J172" s="11" t="str">
        <f aca="false">IF(AND($C172&lt;&gt;"",E172&gt;0),F172/E172,"")</f>
        <v/>
      </c>
      <c r="K172" s="11" t="str">
        <f aca="false">IF(AND($C172&lt;&gt;"",F172&gt;0),G172/F172,"")</f>
        <v/>
      </c>
      <c r="L172" s="12" t="str">
        <f aca="false">IF(AND($C172&lt;&gt;"",F172&gt;0),I172/F172,"")</f>
        <v/>
      </c>
      <c r="M172" s="27" t="str">
        <f aca="false">IF($C172="","",IF(OR(F172=0,F172&lt;Settings!$B$5),"Need more data",IF(AND(K172&gt;=Settings!$B$6,L172&gt;=Settings!$B$7),"Keep",IF(AND(K172&lt;Settings!$B$6,L172&lt;Settings!$B$7),"Drop","Watch"))))</f>
        <v/>
      </c>
      <c r="N172" s="27" t="str">
        <f aca="false">IF($C172="","",IF(OR(F172&gt;E172,G172&gt;F172,E172&lt;0,F172&lt;0,G172&lt;0,H172&lt;0),"Check numbers","OK"))</f>
        <v/>
      </c>
    </row>
    <row r="173" customFormat="false" ht="15" hidden="false" customHeight="false" outlineLevel="0" collapsed="false">
      <c r="A173" s="25"/>
      <c r="B173" s="21"/>
      <c r="C173" s="21"/>
      <c r="D173" s="21"/>
      <c r="E173" s="26"/>
      <c r="F173" s="26"/>
      <c r="G173" s="26"/>
      <c r="H173" s="23"/>
      <c r="I173" s="10" t="str">
        <f aca="false">IF($C173="","",G173*H173)</f>
        <v/>
      </c>
      <c r="J173" s="11" t="str">
        <f aca="false">IF(AND($C173&lt;&gt;"",E173&gt;0),F173/E173,"")</f>
        <v/>
      </c>
      <c r="K173" s="11" t="str">
        <f aca="false">IF(AND($C173&lt;&gt;"",F173&gt;0),G173/F173,"")</f>
        <v/>
      </c>
      <c r="L173" s="12" t="str">
        <f aca="false">IF(AND($C173&lt;&gt;"",F173&gt;0),I173/F173,"")</f>
        <v/>
      </c>
      <c r="M173" s="27" t="str">
        <f aca="false">IF($C173="","",IF(OR(F173=0,F173&lt;Settings!$B$5),"Need more data",IF(AND(K173&gt;=Settings!$B$6,L173&gt;=Settings!$B$7),"Keep",IF(AND(K173&lt;Settings!$B$6,L173&lt;Settings!$B$7),"Drop","Watch"))))</f>
        <v/>
      </c>
      <c r="N173" s="27" t="str">
        <f aca="false">IF($C173="","",IF(OR(F173&gt;E173,G173&gt;F173,E173&lt;0,F173&lt;0,G173&lt;0,H173&lt;0),"Check numbers","OK"))</f>
        <v/>
      </c>
    </row>
    <row r="174" customFormat="false" ht="15" hidden="false" customHeight="false" outlineLevel="0" collapsed="false">
      <c r="A174" s="25"/>
      <c r="B174" s="21"/>
      <c r="C174" s="21"/>
      <c r="D174" s="21"/>
      <c r="E174" s="26"/>
      <c r="F174" s="26"/>
      <c r="G174" s="26"/>
      <c r="H174" s="23"/>
      <c r="I174" s="10" t="str">
        <f aca="false">IF($C174="","",G174*H174)</f>
        <v/>
      </c>
      <c r="J174" s="11" t="str">
        <f aca="false">IF(AND($C174&lt;&gt;"",E174&gt;0),F174/E174,"")</f>
        <v/>
      </c>
      <c r="K174" s="11" t="str">
        <f aca="false">IF(AND($C174&lt;&gt;"",F174&gt;0),G174/F174,"")</f>
        <v/>
      </c>
      <c r="L174" s="12" t="str">
        <f aca="false">IF(AND($C174&lt;&gt;"",F174&gt;0),I174/F174,"")</f>
        <v/>
      </c>
      <c r="M174" s="27" t="str">
        <f aca="false">IF($C174="","",IF(OR(F174=0,F174&lt;Settings!$B$5),"Need more data",IF(AND(K174&gt;=Settings!$B$6,L174&gt;=Settings!$B$7),"Keep",IF(AND(K174&lt;Settings!$B$6,L174&lt;Settings!$B$7),"Drop","Watch"))))</f>
        <v/>
      </c>
      <c r="N174" s="27" t="str">
        <f aca="false">IF($C174="","",IF(OR(F174&gt;E174,G174&gt;F174,E174&lt;0,F174&lt;0,G174&lt;0,H174&lt;0),"Check numbers","OK"))</f>
        <v/>
      </c>
    </row>
    <row r="175" customFormat="false" ht="15" hidden="false" customHeight="false" outlineLevel="0" collapsed="false">
      <c r="A175" s="25"/>
      <c r="B175" s="21"/>
      <c r="C175" s="21"/>
      <c r="D175" s="21"/>
      <c r="E175" s="26"/>
      <c r="F175" s="26"/>
      <c r="G175" s="26"/>
      <c r="H175" s="23"/>
      <c r="I175" s="10" t="str">
        <f aca="false">IF($C175="","",G175*H175)</f>
        <v/>
      </c>
      <c r="J175" s="11" t="str">
        <f aca="false">IF(AND($C175&lt;&gt;"",E175&gt;0),F175/E175,"")</f>
        <v/>
      </c>
      <c r="K175" s="11" t="str">
        <f aca="false">IF(AND($C175&lt;&gt;"",F175&gt;0),G175/F175,"")</f>
        <v/>
      </c>
      <c r="L175" s="12" t="str">
        <f aca="false">IF(AND($C175&lt;&gt;"",F175&gt;0),I175/F175,"")</f>
        <v/>
      </c>
      <c r="M175" s="27" t="str">
        <f aca="false">IF($C175="","",IF(OR(F175=0,F175&lt;Settings!$B$5),"Need more data",IF(AND(K175&gt;=Settings!$B$6,L175&gt;=Settings!$B$7),"Keep",IF(AND(K175&lt;Settings!$B$6,L175&lt;Settings!$B$7),"Drop","Watch"))))</f>
        <v/>
      </c>
      <c r="N175" s="27" t="str">
        <f aca="false">IF($C175="","",IF(OR(F175&gt;E175,G175&gt;F175,E175&lt;0,F175&lt;0,G175&lt;0,H175&lt;0),"Check numbers","OK"))</f>
        <v/>
      </c>
    </row>
    <row r="176" customFormat="false" ht="15" hidden="false" customHeight="false" outlineLevel="0" collapsed="false">
      <c r="A176" s="25"/>
      <c r="B176" s="21"/>
      <c r="C176" s="21"/>
      <c r="D176" s="21"/>
      <c r="E176" s="26"/>
      <c r="F176" s="26"/>
      <c r="G176" s="26"/>
      <c r="H176" s="23"/>
      <c r="I176" s="10" t="str">
        <f aca="false">IF($C176="","",G176*H176)</f>
        <v/>
      </c>
      <c r="J176" s="11" t="str">
        <f aca="false">IF(AND($C176&lt;&gt;"",E176&gt;0),F176/E176,"")</f>
        <v/>
      </c>
      <c r="K176" s="11" t="str">
        <f aca="false">IF(AND($C176&lt;&gt;"",F176&gt;0),G176/F176,"")</f>
        <v/>
      </c>
      <c r="L176" s="12" t="str">
        <f aca="false">IF(AND($C176&lt;&gt;"",F176&gt;0),I176/F176,"")</f>
        <v/>
      </c>
      <c r="M176" s="27" t="str">
        <f aca="false">IF($C176="","",IF(OR(F176=0,F176&lt;Settings!$B$5),"Need more data",IF(AND(K176&gt;=Settings!$B$6,L176&gt;=Settings!$B$7),"Keep",IF(AND(K176&lt;Settings!$B$6,L176&lt;Settings!$B$7),"Drop","Watch"))))</f>
        <v/>
      </c>
      <c r="N176" s="27" t="str">
        <f aca="false">IF($C176="","",IF(OR(F176&gt;E176,G176&gt;F176,E176&lt;0,F176&lt;0,G176&lt;0,H176&lt;0),"Check numbers","OK"))</f>
        <v/>
      </c>
    </row>
    <row r="177" customFormat="false" ht="15" hidden="false" customHeight="false" outlineLevel="0" collapsed="false">
      <c r="A177" s="25"/>
      <c r="B177" s="21"/>
      <c r="C177" s="21"/>
      <c r="D177" s="21"/>
      <c r="E177" s="26"/>
      <c r="F177" s="26"/>
      <c r="G177" s="26"/>
      <c r="H177" s="23"/>
      <c r="I177" s="10" t="str">
        <f aca="false">IF($C177="","",G177*H177)</f>
        <v/>
      </c>
      <c r="J177" s="11" t="str">
        <f aca="false">IF(AND($C177&lt;&gt;"",E177&gt;0),F177/E177,"")</f>
        <v/>
      </c>
      <c r="K177" s="11" t="str">
        <f aca="false">IF(AND($C177&lt;&gt;"",F177&gt;0),G177/F177,"")</f>
        <v/>
      </c>
      <c r="L177" s="12" t="str">
        <f aca="false">IF(AND($C177&lt;&gt;"",F177&gt;0),I177/F177,"")</f>
        <v/>
      </c>
      <c r="M177" s="27" t="str">
        <f aca="false">IF($C177="","",IF(OR(F177=0,F177&lt;Settings!$B$5),"Need more data",IF(AND(K177&gt;=Settings!$B$6,L177&gt;=Settings!$B$7),"Keep",IF(AND(K177&lt;Settings!$B$6,L177&lt;Settings!$B$7),"Drop","Watch"))))</f>
        <v/>
      </c>
      <c r="N177" s="27" t="str">
        <f aca="false">IF($C177="","",IF(OR(F177&gt;E177,G177&gt;F177,E177&lt;0,F177&lt;0,G177&lt;0,H177&lt;0),"Check numbers","OK"))</f>
        <v/>
      </c>
    </row>
    <row r="178" customFormat="false" ht="15" hidden="false" customHeight="false" outlineLevel="0" collapsed="false">
      <c r="A178" s="25"/>
      <c r="B178" s="21"/>
      <c r="C178" s="21"/>
      <c r="D178" s="21"/>
      <c r="E178" s="26"/>
      <c r="F178" s="26"/>
      <c r="G178" s="26"/>
      <c r="H178" s="23"/>
      <c r="I178" s="10" t="str">
        <f aca="false">IF($C178="","",G178*H178)</f>
        <v/>
      </c>
      <c r="J178" s="11" t="str">
        <f aca="false">IF(AND($C178&lt;&gt;"",E178&gt;0),F178/E178,"")</f>
        <v/>
      </c>
      <c r="K178" s="11" t="str">
        <f aca="false">IF(AND($C178&lt;&gt;"",F178&gt;0),G178/F178,"")</f>
        <v/>
      </c>
      <c r="L178" s="12" t="str">
        <f aca="false">IF(AND($C178&lt;&gt;"",F178&gt;0),I178/F178,"")</f>
        <v/>
      </c>
      <c r="M178" s="27" t="str">
        <f aca="false">IF($C178="","",IF(OR(F178=0,F178&lt;Settings!$B$5),"Need more data",IF(AND(K178&gt;=Settings!$B$6,L178&gt;=Settings!$B$7),"Keep",IF(AND(K178&lt;Settings!$B$6,L178&lt;Settings!$B$7),"Drop","Watch"))))</f>
        <v/>
      </c>
      <c r="N178" s="27" t="str">
        <f aca="false">IF($C178="","",IF(OR(F178&gt;E178,G178&gt;F178,E178&lt;0,F178&lt;0,G178&lt;0,H178&lt;0),"Check numbers","OK"))</f>
        <v/>
      </c>
    </row>
    <row r="179" customFormat="false" ht="15" hidden="false" customHeight="false" outlineLevel="0" collapsed="false">
      <c r="A179" s="25"/>
      <c r="B179" s="21"/>
      <c r="C179" s="21"/>
      <c r="D179" s="21"/>
      <c r="E179" s="26"/>
      <c r="F179" s="26"/>
      <c r="G179" s="26"/>
      <c r="H179" s="23"/>
      <c r="I179" s="10" t="str">
        <f aca="false">IF($C179="","",G179*H179)</f>
        <v/>
      </c>
      <c r="J179" s="11" t="str">
        <f aca="false">IF(AND($C179&lt;&gt;"",E179&gt;0),F179/E179,"")</f>
        <v/>
      </c>
      <c r="K179" s="11" t="str">
        <f aca="false">IF(AND($C179&lt;&gt;"",F179&gt;0),G179/F179,"")</f>
        <v/>
      </c>
      <c r="L179" s="12" t="str">
        <f aca="false">IF(AND($C179&lt;&gt;"",F179&gt;0),I179/F179,"")</f>
        <v/>
      </c>
      <c r="M179" s="27" t="str">
        <f aca="false">IF($C179="","",IF(OR(F179=0,F179&lt;Settings!$B$5),"Need more data",IF(AND(K179&gt;=Settings!$B$6,L179&gt;=Settings!$B$7),"Keep",IF(AND(K179&lt;Settings!$B$6,L179&lt;Settings!$B$7),"Drop","Watch"))))</f>
        <v/>
      </c>
      <c r="N179" s="27" t="str">
        <f aca="false">IF($C179="","",IF(OR(F179&gt;E179,G179&gt;F179,E179&lt;0,F179&lt;0,G179&lt;0,H179&lt;0),"Check numbers","OK"))</f>
        <v/>
      </c>
    </row>
    <row r="180" customFormat="false" ht="15" hidden="false" customHeight="false" outlineLevel="0" collapsed="false">
      <c r="A180" s="25"/>
      <c r="B180" s="21"/>
      <c r="C180" s="21"/>
      <c r="D180" s="21"/>
      <c r="E180" s="26"/>
      <c r="F180" s="26"/>
      <c r="G180" s="26"/>
      <c r="H180" s="23"/>
      <c r="I180" s="10" t="str">
        <f aca="false">IF($C180="","",G180*H180)</f>
        <v/>
      </c>
      <c r="J180" s="11" t="str">
        <f aca="false">IF(AND($C180&lt;&gt;"",E180&gt;0),F180/E180,"")</f>
        <v/>
      </c>
      <c r="K180" s="11" t="str">
        <f aca="false">IF(AND($C180&lt;&gt;"",F180&gt;0),G180/F180,"")</f>
        <v/>
      </c>
      <c r="L180" s="12" t="str">
        <f aca="false">IF(AND($C180&lt;&gt;"",F180&gt;0),I180/F180,"")</f>
        <v/>
      </c>
      <c r="M180" s="27" t="str">
        <f aca="false">IF($C180="","",IF(OR(F180=0,F180&lt;Settings!$B$5),"Need more data",IF(AND(K180&gt;=Settings!$B$6,L180&gt;=Settings!$B$7),"Keep",IF(AND(K180&lt;Settings!$B$6,L180&lt;Settings!$B$7),"Drop","Watch"))))</f>
        <v/>
      </c>
      <c r="N180" s="27" t="str">
        <f aca="false">IF($C180="","",IF(OR(F180&gt;E180,G180&gt;F180,E180&lt;0,F180&lt;0,G180&lt;0,H180&lt;0),"Check numbers","OK"))</f>
        <v/>
      </c>
    </row>
    <row r="181" customFormat="false" ht="15" hidden="false" customHeight="false" outlineLevel="0" collapsed="false">
      <c r="A181" s="25"/>
      <c r="B181" s="21"/>
      <c r="C181" s="21"/>
      <c r="D181" s="21"/>
      <c r="E181" s="26"/>
      <c r="F181" s="26"/>
      <c r="G181" s="26"/>
      <c r="H181" s="23"/>
      <c r="I181" s="10" t="str">
        <f aca="false">IF($C181="","",G181*H181)</f>
        <v/>
      </c>
      <c r="J181" s="11" t="str">
        <f aca="false">IF(AND($C181&lt;&gt;"",E181&gt;0),F181/E181,"")</f>
        <v/>
      </c>
      <c r="K181" s="11" t="str">
        <f aca="false">IF(AND($C181&lt;&gt;"",F181&gt;0),G181/F181,"")</f>
        <v/>
      </c>
      <c r="L181" s="12" t="str">
        <f aca="false">IF(AND($C181&lt;&gt;"",F181&gt;0),I181/F181,"")</f>
        <v/>
      </c>
      <c r="M181" s="27" t="str">
        <f aca="false">IF($C181="","",IF(OR(F181=0,F181&lt;Settings!$B$5),"Need more data",IF(AND(K181&gt;=Settings!$B$6,L181&gt;=Settings!$B$7),"Keep",IF(AND(K181&lt;Settings!$B$6,L181&lt;Settings!$B$7),"Drop","Watch"))))</f>
        <v/>
      </c>
      <c r="N181" s="27" t="str">
        <f aca="false">IF($C181="","",IF(OR(F181&gt;E181,G181&gt;F181,E181&lt;0,F181&lt;0,G181&lt;0,H181&lt;0),"Check numbers","OK"))</f>
        <v/>
      </c>
    </row>
    <row r="182" customFormat="false" ht="15" hidden="false" customHeight="false" outlineLevel="0" collapsed="false">
      <c r="A182" s="25"/>
      <c r="B182" s="21"/>
      <c r="C182" s="21"/>
      <c r="D182" s="21"/>
      <c r="E182" s="26"/>
      <c r="F182" s="26"/>
      <c r="G182" s="26"/>
      <c r="H182" s="23"/>
      <c r="I182" s="10" t="str">
        <f aca="false">IF($C182="","",G182*H182)</f>
        <v/>
      </c>
      <c r="J182" s="11" t="str">
        <f aca="false">IF(AND($C182&lt;&gt;"",E182&gt;0),F182/E182,"")</f>
        <v/>
      </c>
      <c r="K182" s="11" t="str">
        <f aca="false">IF(AND($C182&lt;&gt;"",F182&gt;0),G182/F182,"")</f>
        <v/>
      </c>
      <c r="L182" s="12" t="str">
        <f aca="false">IF(AND($C182&lt;&gt;"",F182&gt;0),I182/F182,"")</f>
        <v/>
      </c>
      <c r="M182" s="27" t="str">
        <f aca="false">IF($C182="","",IF(OR(F182=0,F182&lt;Settings!$B$5),"Need more data",IF(AND(K182&gt;=Settings!$B$6,L182&gt;=Settings!$B$7),"Keep",IF(AND(K182&lt;Settings!$B$6,L182&lt;Settings!$B$7),"Drop","Watch"))))</f>
        <v/>
      </c>
      <c r="N182" s="27" t="str">
        <f aca="false">IF($C182="","",IF(OR(F182&gt;E182,G182&gt;F182,E182&lt;0,F182&lt;0,G182&lt;0,H182&lt;0),"Check numbers","OK"))</f>
        <v/>
      </c>
    </row>
    <row r="183" customFormat="false" ht="15" hidden="false" customHeight="false" outlineLevel="0" collapsed="false">
      <c r="A183" s="25"/>
      <c r="B183" s="21"/>
      <c r="C183" s="21"/>
      <c r="D183" s="21"/>
      <c r="E183" s="26"/>
      <c r="F183" s="26"/>
      <c r="G183" s="26"/>
      <c r="H183" s="23"/>
      <c r="I183" s="10" t="str">
        <f aca="false">IF($C183="","",G183*H183)</f>
        <v/>
      </c>
      <c r="J183" s="11" t="str">
        <f aca="false">IF(AND($C183&lt;&gt;"",E183&gt;0),F183/E183,"")</f>
        <v/>
      </c>
      <c r="K183" s="11" t="str">
        <f aca="false">IF(AND($C183&lt;&gt;"",F183&gt;0),G183/F183,"")</f>
        <v/>
      </c>
      <c r="L183" s="12" t="str">
        <f aca="false">IF(AND($C183&lt;&gt;"",F183&gt;0),I183/F183,"")</f>
        <v/>
      </c>
      <c r="M183" s="27" t="str">
        <f aca="false">IF($C183="","",IF(OR(F183=0,F183&lt;Settings!$B$5),"Need more data",IF(AND(K183&gt;=Settings!$B$6,L183&gt;=Settings!$B$7),"Keep",IF(AND(K183&lt;Settings!$B$6,L183&lt;Settings!$B$7),"Drop","Watch"))))</f>
        <v/>
      </c>
      <c r="N183" s="27" t="str">
        <f aca="false">IF($C183="","",IF(OR(F183&gt;E183,G183&gt;F183,E183&lt;0,F183&lt;0,G183&lt;0,H183&lt;0),"Check numbers","OK"))</f>
        <v/>
      </c>
    </row>
    <row r="184" customFormat="false" ht="15" hidden="false" customHeight="false" outlineLevel="0" collapsed="false">
      <c r="A184" s="25"/>
      <c r="B184" s="21"/>
      <c r="C184" s="21"/>
      <c r="D184" s="21"/>
      <c r="E184" s="26"/>
      <c r="F184" s="26"/>
      <c r="G184" s="26"/>
      <c r="H184" s="23"/>
      <c r="I184" s="10" t="str">
        <f aca="false">IF($C184="","",G184*H184)</f>
        <v/>
      </c>
      <c r="J184" s="11" t="str">
        <f aca="false">IF(AND($C184&lt;&gt;"",E184&gt;0),F184/E184,"")</f>
        <v/>
      </c>
      <c r="K184" s="11" t="str">
        <f aca="false">IF(AND($C184&lt;&gt;"",F184&gt;0),G184/F184,"")</f>
        <v/>
      </c>
      <c r="L184" s="12" t="str">
        <f aca="false">IF(AND($C184&lt;&gt;"",F184&gt;0),I184/F184,"")</f>
        <v/>
      </c>
      <c r="M184" s="27" t="str">
        <f aca="false">IF($C184="","",IF(OR(F184=0,F184&lt;Settings!$B$5),"Need more data",IF(AND(K184&gt;=Settings!$B$6,L184&gt;=Settings!$B$7),"Keep",IF(AND(K184&lt;Settings!$B$6,L184&lt;Settings!$B$7),"Drop","Watch"))))</f>
        <v/>
      </c>
      <c r="N184" s="27" t="str">
        <f aca="false">IF($C184="","",IF(OR(F184&gt;E184,G184&gt;F184,E184&lt;0,F184&lt;0,G184&lt;0,H184&lt;0),"Check numbers","OK"))</f>
        <v/>
      </c>
    </row>
    <row r="185" customFormat="false" ht="15" hidden="false" customHeight="false" outlineLevel="0" collapsed="false">
      <c r="A185" s="25"/>
      <c r="B185" s="21"/>
      <c r="C185" s="21"/>
      <c r="D185" s="21"/>
      <c r="E185" s="26"/>
      <c r="F185" s="26"/>
      <c r="G185" s="26"/>
      <c r="H185" s="23"/>
      <c r="I185" s="10" t="str">
        <f aca="false">IF($C185="","",G185*H185)</f>
        <v/>
      </c>
      <c r="J185" s="11" t="str">
        <f aca="false">IF(AND($C185&lt;&gt;"",E185&gt;0),F185/E185,"")</f>
        <v/>
      </c>
      <c r="K185" s="11" t="str">
        <f aca="false">IF(AND($C185&lt;&gt;"",F185&gt;0),G185/F185,"")</f>
        <v/>
      </c>
      <c r="L185" s="12" t="str">
        <f aca="false">IF(AND($C185&lt;&gt;"",F185&gt;0),I185/F185,"")</f>
        <v/>
      </c>
      <c r="M185" s="27" t="str">
        <f aca="false">IF($C185="","",IF(OR(F185=0,F185&lt;Settings!$B$5),"Need more data",IF(AND(K185&gt;=Settings!$B$6,L185&gt;=Settings!$B$7),"Keep",IF(AND(K185&lt;Settings!$B$6,L185&lt;Settings!$B$7),"Drop","Watch"))))</f>
        <v/>
      </c>
      <c r="N185" s="27" t="str">
        <f aca="false">IF($C185="","",IF(OR(F185&gt;E185,G185&gt;F185,E185&lt;0,F185&lt;0,G185&lt;0,H185&lt;0),"Check numbers","OK"))</f>
        <v/>
      </c>
    </row>
    <row r="186" customFormat="false" ht="15" hidden="false" customHeight="false" outlineLevel="0" collapsed="false">
      <c r="A186" s="25"/>
      <c r="B186" s="21"/>
      <c r="C186" s="21"/>
      <c r="D186" s="21"/>
      <c r="E186" s="26"/>
      <c r="F186" s="26"/>
      <c r="G186" s="26"/>
      <c r="H186" s="23"/>
      <c r="I186" s="10" t="str">
        <f aca="false">IF($C186="","",G186*H186)</f>
        <v/>
      </c>
      <c r="J186" s="11" t="str">
        <f aca="false">IF(AND($C186&lt;&gt;"",E186&gt;0),F186/E186,"")</f>
        <v/>
      </c>
      <c r="K186" s="11" t="str">
        <f aca="false">IF(AND($C186&lt;&gt;"",F186&gt;0),G186/F186,"")</f>
        <v/>
      </c>
      <c r="L186" s="12" t="str">
        <f aca="false">IF(AND($C186&lt;&gt;"",F186&gt;0),I186/F186,"")</f>
        <v/>
      </c>
      <c r="M186" s="27" t="str">
        <f aca="false">IF($C186="","",IF(OR(F186=0,F186&lt;Settings!$B$5),"Need more data",IF(AND(K186&gt;=Settings!$B$6,L186&gt;=Settings!$B$7),"Keep",IF(AND(K186&lt;Settings!$B$6,L186&lt;Settings!$B$7),"Drop","Watch"))))</f>
        <v/>
      </c>
      <c r="N186" s="27" t="str">
        <f aca="false">IF($C186="","",IF(OR(F186&gt;E186,G186&gt;F186,E186&lt;0,F186&lt;0,G186&lt;0,H186&lt;0),"Check numbers","OK"))</f>
        <v/>
      </c>
    </row>
    <row r="187" customFormat="false" ht="15" hidden="false" customHeight="false" outlineLevel="0" collapsed="false">
      <c r="A187" s="25"/>
      <c r="B187" s="21"/>
      <c r="C187" s="21"/>
      <c r="D187" s="21"/>
      <c r="E187" s="26"/>
      <c r="F187" s="26"/>
      <c r="G187" s="26"/>
      <c r="H187" s="23"/>
      <c r="I187" s="10" t="str">
        <f aca="false">IF($C187="","",G187*H187)</f>
        <v/>
      </c>
      <c r="J187" s="11" t="str">
        <f aca="false">IF(AND($C187&lt;&gt;"",E187&gt;0),F187/E187,"")</f>
        <v/>
      </c>
      <c r="K187" s="11" t="str">
        <f aca="false">IF(AND($C187&lt;&gt;"",F187&gt;0),G187/F187,"")</f>
        <v/>
      </c>
      <c r="L187" s="12" t="str">
        <f aca="false">IF(AND($C187&lt;&gt;"",F187&gt;0),I187/F187,"")</f>
        <v/>
      </c>
      <c r="M187" s="27" t="str">
        <f aca="false">IF($C187="","",IF(OR(F187=0,F187&lt;Settings!$B$5),"Need more data",IF(AND(K187&gt;=Settings!$B$6,L187&gt;=Settings!$B$7),"Keep",IF(AND(K187&lt;Settings!$B$6,L187&lt;Settings!$B$7),"Drop","Watch"))))</f>
        <v/>
      </c>
      <c r="N187" s="27" t="str">
        <f aca="false">IF($C187="","",IF(OR(F187&gt;E187,G187&gt;F187,E187&lt;0,F187&lt;0,G187&lt;0,H187&lt;0),"Check numbers","OK"))</f>
        <v/>
      </c>
    </row>
    <row r="188" customFormat="false" ht="15" hidden="false" customHeight="false" outlineLevel="0" collapsed="false">
      <c r="A188" s="25"/>
      <c r="B188" s="21"/>
      <c r="C188" s="21"/>
      <c r="D188" s="21"/>
      <c r="E188" s="26"/>
      <c r="F188" s="26"/>
      <c r="G188" s="26"/>
      <c r="H188" s="23"/>
      <c r="I188" s="10" t="str">
        <f aca="false">IF($C188="","",G188*H188)</f>
        <v/>
      </c>
      <c r="J188" s="11" t="str">
        <f aca="false">IF(AND($C188&lt;&gt;"",E188&gt;0),F188/E188,"")</f>
        <v/>
      </c>
      <c r="K188" s="11" t="str">
        <f aca="false">IF(AND($C188&lt;&gt;"",F188&gt;0),G188/F188,"")</f>
        <v/>
      </c>
      <c r="L188" s="12" t="str">
        <f aca="false">IF(AND($C188&lt;&gt;"",F188&gt;0),I188/F188,"")</f>
        <v/>
      </c>
      <c r="M188" s="27" t="str">
        <f aca="false">IF($C188="","",IF(OR(F188=0,F188&lt;Settings!$B$5),"Need more data",IF(AND(K188&gt;=Settings!$B$6,L188&gt;=Settings!$B$7),"Keep",IF(AND(K188&lt;Settings!$B$6,L188&lt;Settings!$B$7),"Drop","Watch"))))</f>
        <v/>
      </c>
      <c r="N188" s="27" t="str">
        <f aca="false">IF($C188="","",IF(OR(F188&gt;E188,G188&gt;F188,E188&lt;0,F188&lt;0,G188&lt;0,H188&lt;0),"Check numbers","OK"))</f>
        <v/>
      </c>
    </row>
    <row r="189" customFormat="false" ht="15" hidden="false" customHeight="false" outlineLevel="0" collapsed="false">
      <c r="A189" s="25"/>
      <c r="B189" s="21"/>
      <c r="C189" s="21"/>
      <c r="D189" s="21"/>
      <c r="E189" s="26"/>
      <c r="F189" s="26"/>
      <c r="G189" s="26"/>
      <c r="H189" s="23"/>
      <c r="I189" s="10" t="str">
        <f aca="false">IF($C189="","",G189*H189)</f>
        <v/>
      </c>
      <c r="J189" s="11" t="str">
        <f aca="false">IF(AND($C189&lt;&gt;"",E189&gt;0),F189/E189,"")</f>
        <v/>
      </c>
      <c r="K189" s="11" t="str">
        <f aca="false">IF(AND($C189&lt;&gt;"",F189&gt;0),G189/F189,"")</f>
        <v/>
      </c>
      <c r="L189" s="12" t="str">
        <f aca="false">IF(AND($C189&lt;&gt;"",F189&gt;0),I189/F189,"")</f>
        <v/>
      </c>
      <c r="M189" s="27" t="str">
        <f aca="false">IF($C189="","",IF(OR(F189=0,F189&lt;Settings!$B$5),"Need more data",IF(AND(K189&gt;=Settings!$B$6,L189&gt;=Settings!$B$7),"Keep",IF(AND(K189&lt;Settings!$B$6,L189&lt;Settings!$B$7),"Drop","Watch"))))</f>
        <v/>
      </c>
      <c r="N189" s="27" t="str">
        <f aca="false">IF($C189="","",IF(OR(F189&gt;E189,G189&gt;F189,E189&lt;0,F189&lt;0,G189&lt;0,H189&lt;0),"Check numbers","OK"))</f>
        <v/>
      </c>
    </row>
    <row r="190" customFormat="false" ht="15" hidden="false" customHeight="false" outlineLevel="0" collapsed="false">
      <c r="A190" s="25"/>
      <c r="B190" s="21"/>
      <c r="C190" s="21"/>
      <c r="D190" s="21"/>
      <c r="E190" s="26"/>
      <c r="F190" s="26"/>
      <c r="G190" s="26"/>
      <c r="H190" s="23"/>
      <c r="I190" s="10" t="str">
        <f aca="false">IF($C190="","",G190*H190)</f>
        <v/>
      </c>
      <c r="J190" s="11" t="str">
        <f aca="false">IF(AND($C190&lt;&gt;"",E190&gt;0),F190/E190,"")</f>
        <v/>
      </c>
      <c r="K190" s="11" t="str">
        <f aca="false">IF(AND($C190&lt;&gt;"",F190&gt;0),G190/F190,"")</f>
        <v/>
      </c>
      <c r="L190" s="12" t="str">
        <f aca="false">IF(AND($C190&lt;&gt;"",F190&gt;0),I190/F190,"")</f>
        <v/>
      </c>
      <c r="M190" s="27" t="str">
        <f aca="false">IF($C190="","",IF(OR(F190=0,F190&lt;Settings!$B$5),"Need more data",IF(AND(K190&gt;=Settings!$B$6,L190&gt;=Settings!$B$7),"Keep",IF(AND(K190&lt;Settings!$B$6,L190&lt;Settings!$B$7),"Drop","Watch"))))</f>
        <v/>
      </c>
      <c r="N190" s="27" t="str">
        <f aca="false">IF($C190="","",IF(OR(F190&gt;E190,G190&gt;F190,E190&lt;0,F190&lt;0,G190&lt;0,H190&lt;0),"Check numbers","OK"))</f>
        <v/>
      </c>
    </row>
    <row r="191" customFormat="false" ht="15" hidden="false" customHeight="false" outlineLevel="0" collapsed="false">
      <c r="A191" s="25"/>
      <c r="B191" s="21"/>
      <c r="C191" s="21"/>
      <c r="D191" s="21"/>
      <c r="E191" s="26"/>
      <c r="F191" s="26"/>
      <c r="G191" s="26"/>
      <c r="H191" s="23"/>
      <c r="I191" s="10" t="str">
        <f aca="false">IF($C191="","",G191*H191)</f>
        <v/>
      </c>
      <c r="J191" s="11" t="str">
        <f aca="false">IF(AND($C191&lt;&gt;"",E191&gt;0),F191/E191,"")</f>
        <v/>
      </c>
      <c r="K191" s="11" t="str">
        <f aca="false">IF(AND($C191&lt;&gt;"",F191&gt;0),G191/F191,"")</f>
        <v/>
      </c>
      <c r="L191" s="12" t="str">
        <f aca="false">IF(AND($C191&lt;&gt;"",F191&gt;0),I191/F191,"")</f>
        <v/>
      </c>
      <c r="M191" s="27" t="str">
        <f aca="false">IF($C191="","",IF(OR(F191=0,F191&lt;Settings!$B$5),"Need more data",IF(AND(K191&gt;=Settings!$B$6,L191&gt;=Settings!$B$7),"Keep",IF(AND(K191&lt;Settings!$B$6,L191&lt;Settings!$B$7),"Drop","Watch"))))</f>
        <v/>
      </c>
      <c r="N191" s="27" t="str">
        <f aca="false">IF($C191="","",IF(OR(F191&gt;E191,G191&gt;F191,E191&lt;0,F191&lt;0,G191&lt;0,H191&lt;0),"Check numbers","OK"))</f>
        <v/>
      </c>
    </row>
    <row r="192" customFormat="false" ht="15" hidden="false" customHeight="false" outlineLevel="0" collapsed="false">
      <c r="A192" s="25"/>
      <c r="B192" s="21"/>
      <c r="C192" s="21"/>
      <c r="D192" s="21"/>
      <c r="E192" s="26"/>
      <c r="F192" s="26"/>
      <c r="G192" s="26"/>
      <c r="H192" s="23"/>
      <c r="I192" s="10" t="str">
        <f aca="false">IF($C192="","",G192*H192)</f>
        <v/>
      </c>
      <c r="J192" s="11" t="str">
        <f aca="false">IF(AND($C192&lt;&gt;"",E192&gt;0),F192/E192,"")</f>
        <v/>
      </c>
      <c r="K192" s="11" t="str">
        <f aca="false">IF(AND($C192&lt;&gt;"",F192&gt;0),G192/F192,"")</f>
        <v/>
      </c>
      <c r="L192" s="12" t="str">
        <f aca="false">IF(AND($C192&lt;&gt;"",F192&gt;0),I192/F192,"")</f>
        <v/>
      </c>
      <c r="M192" s="27" t="str">
        <f aca="false">IF($C192="","",IF(OR(F192=0,F192&lt;Settings!$B$5),"Need more data",IF(AND(K192&gt;=Settings!$B$6,L192&gt;=Settings!$B$7),"Keep",IF(AND(K192&lt;Settings!$B$6,L192&lt;Settings!$B$7),"Drop","Watch"))))</f>
        <v/>
      </c>
      <c r="N192" s="27" t="str">
        <f aca="false">IF($C192="","",IF(OR(F192&gt;E192,G192&gt;F192,E192&lt;0,F192&lt;0,G192&lt;0,H192&lt;0),"Check numbers","OK"))</f>
        <v/>
      </c>
    </row>
    <row r="193" customFormat="false" ht="15" hidden="false" customHeight="false" outlineLevel="0" collapsed="false">
      <c r="A193" s="25"/>
      <c r="B193" s="21"/>
      <c r="C193" s="21"/>
      <c r="D193" s="21"/>
      <c r="E193" s="26"/>
      <c r="F193" s="26"/>
      <c r="G193" s="26"/>
      <c r="H193" s="23"/>
      <c r="I193" s="10" t="str">
        <f aca="false">IF($C193="","",G193*H193)</f>
        <v/>
      </c>
      <c r="J193" s="11" t="str">
        <f aca="false">IF(AND($C193&lt;&gt;"",E193&gt;0),F193/E193,"")</f>
        <v/>
      </c>
      <c r="K193" s="11" t="str">
        <f aca="false">IF(AND($C193&lt;&gt;"",F193&gt;0),G193/F193,"")</f>
        <v/>
      </c>
      <c r="L193" s="12" t="str">
        <f aca="false">IF(AND($C193&lt;&gt;"",F193&gt;0),I193/F193,"")</f>
        <v/>
      </c>
      <c r="M193" s="27" t="str">
        <f aca="false">IF($C193="","",IF(OR(F193=0,F193&lt;Settings!$B$5),"Need more data",IF(AND(K193&gt;=Settings!$B$6,L193&gt;=Settings!$B$7),"Keep",IF(AND(K193&lt;Settings!$B$6,L193&lt;Settings!$B$7),"Drop","Watch"))))</f>
        <v/>
      </c>
      <c r="N193" s="27" t="str">
        <f aca="false">IF($C193="","",IF(OR(F193&gt;E193,G193&gt;F193,E193&lt;0,F193&lt;0,G193&lt;0,H193&lt;0),"Check numbers","OK"))</f>
        <v/>
      </c>
    </row>
    <row r="194" customFormat="false" ht="15" hidden="false" customHeight="false" outlineLevel="0" collapsed="false">
      <c r="A194" s="25"/>
      <c r="B194" s="21"/>
      <c r="C194" s="21"/>
      <c r="D194" s="21"/>
      <c r="E194" s="26"/>
      <c r="F194" s="26"/>
      <c r="G194" s="26"/>
      <c r="H194" s="23"/>
      <c r="I194" s="10" t="str">
        <f aca="false">IF($C194="","",G194*H194)</f>
        <v/>
      </c>
      <c r="J194" s="11" t="str">
        <f aca="false">IF(AND($C194&lt;&gt;"",E194&gt;0),F194/E194,"")</f>
        <v/>
      </c>
      <c r="K194" s="11" t="str">
        <f aca="false">IF(AND($C194&lt;&gt;"",F194&gt;0),G194/F194,"")</f>
        <v/>
      </c>
      <c r="L194" s="12" t="str">
        <f aca="false">IF(AND($C194&lt;&gt;"",F194&gt;0),I194/F194,"")</f>
        <v/>
      </c>
      <c r="M194" s="27" t="str">
        <f aca="false">IF($C194="","",IF(OR(F194=0,F194&lt;Settings!$B$5),"Need more data",IF(AND(K194&gt;=Settings!$B$6,L194&gt;=Settings!$B$7),"Keep",IF(AND(K194&lt;Settings!$B$6,L194&lt;Settings!$B$7),"Drop","Watch"))))</f>
        <v/>
      </c>
      <c r="N194" s="27" t="str">
        <f aca="false">IF($C194="","",IF(OR(F194&gt;E194,G194&gt;F194,E194&lt;0,F194&lt;0,G194&lt;0,H194&lt;0),"Check numbers","OK"))</f>
        <v/>
      </c>
    </row>
    <row r="195" customFormat="false" ht="15" hidden="false" customHeight="false" outlineLevel="0" collapsed="false">
      <c r="A195" s="25"/>
      <c r="B195" s="21"/>
      <c r="C195" s="21"/>
      <c r="D195" s="21"/>
      <c r="E195" s="26"/>
      <c r="F195" s="26"/>
      <c r="G195" s="26"/>
      <c r="H195" s="23"/>
      <c r="I195" s="10" t="str">
        <f aca="false">IF($C195="","",G195*H195)</f>
        <v/>
      </c>
      <c r="J195" s="11" t="str">
        <f aca="false">IF(AND($C195&lt;&gt;"",E195&gt;0),F195/E195,"")</f>
        <v/>
      </c>
      <c r="K195" s="11" t="str">
        <f aca="false">IF(AND($C195&lt;&gt;"",F195&gt;0),G195/F195,"")</f>
        <v/>
      </c>
      <c r="L195" s="12" t="str">
        <f aca="false">IF(AND($C195&lt;&gt;"",F195&gt;0),I195/F195,"")</f>
        <v/>
      </c>
      <c r="M195" s="27" t="str">
        <f aca="false">IF($C195="","",IF(OR(F195=0,F195&lt;Settings!$B$5),"Need more data",IF(AND(K195&gt;=Settings!$B$6,L195&gt;=Settings!$B$7),"Keep",IF(AND(K195&lt;Settings!$B$6,L195&lt;Settings!$B$7),"Drop","Watch"))))</f>
        <v/>
      </c>
      <c r="N195" s="27" t="str">
        <f aca="false">IF($C195="","",IF(OR(F195&gt;E195,G195&gt;F195,E195&lt;0,F195&lt;0,G195&lt;0,H195&lt;0),"Check numbers","OK"))</f>
        <v/>
      </c>
    </row>
    <row r="196" customFormat="false" ht="15" hidden="false" customHeight="false" outlineLevel="0" collapsed="false">
      <c r="A196" s="25"/>
      <c r="B196" s="21"/>
      <c r="C196" s="21"/>
      <c r="D196" s="21"/>
      <c r="E196" s="26"/>
      <c r="F196" s="26"/>
      <c r="G196" s="26"/>
      <c r="H196" s="23"/>
      <c r="I196" s="10" t="str">
        <f aca="false">IF($C196="","",G196*H196)</f>
        <v/>
      </c>
      <c r="J196" s="11" t="str">
        <f aca="false">IF(AND($C196&lt;&gt;"",E196&gt;0),F196/E196,"")</f>
        <v/>
      </c>
      <c r="K196" s="11" t="str">
        <f aca="false">IF(AND($C196&lt;&gt;"",F196&gt;0),G196/F196,"")</f>
        <v/>
      </c>
      <c r="L196" s="12" t="str">
        <f aca="false">IF(AND($C196&lt;&gt;"",F196&gt;0),I196/F196,"")</f>
        <v/>
      </c>
      <c r="M196" s="27" t="str">
        <f aca="false">IF($C196="","",IF(OR(F196=0,F196&lt;Settings!$B$5),"Need more data",IF(AND(K196&gt;=Settings!$B$6,L196&gt;=Settings!$B$7),"Keep",IF(AND(K196&lt;Settings!$B$6,L196&lt;Settings!$B$7),"Drop","Watch"))))</f>
        <v/>
      </c>
      <c r="N196" s="27" t="str">
        <f aca="false">IF($C196="","",IF(OR(F196&gt;E196,G196&gt;F196,E196&lt;0,F196&lt;0,G196&lt;0,H196&lt;0),"Check numbers","OK"))</f>
        <v/>
      </c>
    </row>
    <row r="197" customFormat="false" ht="15" hidden="false" customHeight="false" outlineLevel="0" collapsed="false">
      <c r="A197" s="25"/>
      <c r="B197" s="21"/>
      <c r="C197" s="21"/>
      <c r="D197" s="21"/>
      <c r="E197" s="26"/>
      <c r="F197" s="26"/>
      <c r="G197" s="26"/>
      <c r="H197" s="23"/>
      <c r="I197" s="10" t="str">
        <f aca="false">IF($C197="","",G197*H197)</f>
        <v/>
      </c>
      <c r="J197" s="11" t="str">
        <f aca="false">IF(AND($C197&lt;&gt;"",E197&gt;0),F197/E197,"")</f>
        <v/>
      </c>
      <c r="K197" s="11" t="str">
        <f aca="false">IF(AND($C197&lt;&gt;"",F197&gt;0),G197/F197,"")</f>
        <v/>
      </c>
      <c r="L197" s="12" t="str">
        <f aca="false">IF(AND($C197&lt;&gt;"",F197&gt;0),I197/F197,"")</f>
        <v/>
      </c>
      <c r="M197" s="27" t="str">
        <f aca="false">IF($C197="","",IF(OR(F197=0,F197&lt;Settings!$B$5),"Need more data",IF(AND(K197&gt;=Settings!$B$6,L197&gt;=Settings!$B$7),"Keep",IF(AND(K197&lt;Settings!$B$6,L197&lt;Settings!$B$7),"Drop","Watch"))))</f>
        <v/>
      </c>
      <c r="N197" s="27" t="str">
        <f aca="false">IF($C197="","",IF(OR(F197&gt;E197,G197&gt;F197,E197&lt;0,F197&lt;0,G197&lt;0,H197&lt;0),"Check numbers","OK"))</f>
        <v/>
      </c>
    </row>
    <row r="198" customFormat="false" ht="15" hidden="false" customHeight="false" outlineLevel="0" collapsed="false">
      <c r="A198" s="25"/>
      <c r="B198" s="21"/>
      <c r="C198" s="21"/>
      <c r="D198" s="21"/>
      <c r="E198" s="26"/>
      <c r="F198" s="26"/>
      <c r="G198" s="26"/>
      <c r="H198" s="23"/>
      <c r="I198" s="10" t="str">
        <f aca="false">IF($C198="","",G198*H198)</f>
        <v/>
      </c>
      <c r="J198" s="11" t="str">
        <f aca="false">IF(AND($C198&lt;&gt;"",E198&gt;0),F198/E198,"")</f>
        <v/>
      </c>
      <c r="K198" s="11" t="str">
        <f aca="false">IF(AND($C198&lt;&gt;"",F198&gt;0),G198/F198,"")</f>
        <v/>
      </c>
      <c r="L198" s="12" t="str">
        <f aca="false">IF(AND($C198&lt;&gt;"",F198&gt;0),I198/F198,"")</f>
        <v/>
      </c>
      <c r="M198" s="27" t="str">
        <f aca="false">IF($C198="","",IF(OR(F198=0,F198&lt;Settings!$B$5),"Need more data",IF(AND(K198&gt;=Settings!$B$6,L198&gt;=Settings!$B$7),"Keep",IF(AND(K198&lt;Settings!$B$6,L198&lt;Settings!$B$7),"Drop","Watch"))))</f>
        <v/>
      </c>
      <c r="N198" s="27" t="str">
        <f aca="false">IF($C198="","",IF(OR(F198&gt;E198,G198&gt;F198,E198&lt;0,F198&lt;0,G198&lt;0,H198&lt;0),"Check numbers","OK"))</f>
        <v/>
      </c>
    </row>
    <row r="199" customFormat="false" ht="15" hidden="false" customHeight="false" outlineLevel="0" collapsed="false">
      <c r="A199" s="25"/>
      <c r="B199" s="21"/>
      <c r="C199" s="21"/>
      <c r="D199" s="21"/>
      <c r="E199" s="26"/>
      <c r="F199" s="26"/>
      <c r="G199" s="26"/>
      <c r="H199" s="23"/>
      <c r="I199" s="10" t="str">
        <f aca="false">IF($C199="","",G199*H199)</f>
        <v/>
      </c>
      <c r="J199" s="11" t="str">
        <f aca="false">IF(AND($C199&lt;&gt;"",E199&gt;0),F199/E199,"")</f>
        <v/>
      </c>
      <c r="K199" s="11" t="str">
        <f aca="false">IF(AND($C199&lt;&gt;"",F199&gt;0),G199/F199,"")</f>
        <v/>
      </c>
      <c r="L199" s="12" t="str">
        <f aca="false">IF(AND($C199&lt;&gt;"",F199&gt;0),I199/F199,"")</f>
        <v/>
      </c>
      <c r="M199" s="27" t="str">
        <f aca="false">IF($C199="","",IF(OR(F199=0,F199&lt;Settings!$B$5),"Need more data",IF(AND(K199&gt;=Settings!$B$6,L199&gt;=Settings!$B$7),"Keep",IF(AND(K199&lt;Settings!$B$6,L199&lt;Settings!$B$7),"Drop","Watch"))))</f>
        <v/>
      </c>
      <c r="N199" s="27" t="str">
        <f aca="false">IF($C199="","",IF(OR(F199&gt;E199,G199&gt;F199,E199&lt;0,F199&lt;0,G199&lt;0,H199&lt;0),"Check numbers","OK"))</f>
        <v/>
      </c>
    </row>
    <row r="200" customFormat="false" ht="15" hidden="false" customHeight="false" outlineLevel="0" collapsed="false">
      <c r="A200" s="25"/>
      <c r="B200" s="21"/>
      <c r="C200" s="21"/>
      <c r="D200" s="21"/>
      <c r="E200" s="26"/>
      <c r="F200" s="26"/>
      <c r="G200" s="26"/>
      <c r="H200" s="23"/>
      <c r="I200" s="10" t="str">
        <f aca="false">IF($C200="","",G200*H200)</f>
        <v/>
      </c>
      <c r="J200" s="11" t="str">
        <f aca="false">IF(AND($C200&lt;&gt;"",E200&gt;0),F200/E200,"")</f>
        <v/>
      </c>
      <c r="K200" s="11" t="str">
        <f aca="false">IF(AND($C200&lt;&gt;"",F200&gt;0),G200/F200,"")</f>
        <v/>
      </c>
      <c r="L200" s="12" t="str">
        <f aca="false">IF(AND($C200&lt;&gt;"",F200&gt;0),I200/F200,"")</f>
        <v/>
      </c>
      <c r="M200" s="27" t="str">
        <f aca="false">IF($C200="","",IF(OR(F200=0,F200&lt;Settings!$B$5),"Need more data",IF(AND(K200&gt;=Settings!$B$6,L200&gt;=Settings!$B$7),"Keep",IF(AND(K200&lt;Settings!$B$6,L200&lt;Settings!$B$7),"Drop","Watch"))))</f>
        <v/>
      </c>
      <c r="N200" s="27" t="str">
        <f aca="false">IF($C200="","",IF(OR(F200&gt;E200,G200&gt;F200,E200&lt;0,F200&lt;0,G200&lt;0,H200&lt;0),"Check numbers","OK"))</f>
        <v/>
      </c>
    </row>
    <row r="201" customFormat="false" ht="15" hidden="false" customHeight="false" outlineLevel="0" collapsed="false">
      <c r="A201" s="25"/>
      <c r="B201" s="21"/>
      <c r="C201" s="21"/>
      <c r="D201" s="21"/>
      <c r="E201" s="26"/>
      <c r="F201" s="26"/>
      <c r="G201" s="26"/>
      <c r="H201" s="23"/>
      <c r="I201" s="10" t="str">
        <f aca="false">IF($C201="","",G201*H201)</f>
        <v/>
      </c>
      <c r="J201" s="11" t="str">
        <f aca="false">IF(AND($C201&lt;&gt;"",E201&gt;0),F201/E201,"")</f>
        <v/>
      </c>
      <c r="K201" s="11" t="str">
        <f aca="false">IF(AND($C201&lt;&gt;"",F201&gt;0),G201/F201,"")</f>
        <v/>
      </c>
      <c r="L201" s="12" t="str">
        <f aca="false">IF(AND($C201&lt;&gt;"",F201&gt;0),I201/F201,"")</f>
        <v/>
      </c>
      <c r="M201" s="27" t="str">
        <f aca="false">IF($C201="","",IF(OR(F201=0,F201&lt;Settings!$B$5),"Need more data",IF(AND(K201&gt;=Settings!$B$6,L201&gt;=Settings!$B$7),"Keep",IF(AND(K201&lt;Settings!$B$6,L201&lt;Settings!$B$7),"Drop","Watch"))))</f>
        <v/>
      </c>
      <c r="N201" s="27" t="str">
        <f aca="false">IF($C201="","",IF(OR(F201&gt;E201,G201&gt;F201,E201&lt;0,F201&lt;0,G201&lt;0,H201&lt;0),"Check numbers","OK"))</f>
        <v/>
      </c>
    </row>
    <row r="202" customFormat="false" ht="15" hidden="false" customHeight="false" outlineLevel="0" collapsed="false">
      <c r="A202" s="25"/>
      <c r="B202" s="21"/>
      <c r="C202" s="21"/>
      <c r="D202" s="21"/>
      <c r="E202" s="26"/>
      <c r="F202" s="26"/>
      <c r="G202" s="26"/>
      <c r="H202" s="23"/>
      <c r="I202" s="10" t="str">
        <f aca="false">IF($C202="","",G202*H202)</f>
        <v/>
      </c>
      <c r="J202" s="11" t="str">
        <f aca="false">IF(AND($C202&lt;&gt;"",E202&gt;0),F202/E202,"")</f>
        <v/>
      </c>
      <c r="K202" s="11" t="str">
        <f aca="false">IF(AND($C202&lt;&gt;"",F202&gt;0),G202/F202,"")</f>
        <v/>
      </c>
      <c r="L202" s="12" t="str">
        <f aca="false">IF(AND($C202&lt;&gt;"",F202&gt;0),I202/F202,"")</f>
        <v/>
      </c>
      <c r="M202" s="27" t="str">
        <f aca="false">IF($C202="","",IF(OR(F202=0,F202&lt;Settings!$B$5),"Need more data",IF(AND(K202&gt;=Settings!$B$6,L202&gt;=Settings!$B$7),"Keep",IF(AND(K202&lt;Settings!$B$6,L202&lt;Settings!$B$7),"Drop","Watch"))))</f>
        <v/>
      </c>
      <c r="N202" s="27" t="str">
        <f aca="false">IF($C202="","",IF(OR(F202&gt;E202,G202&gt;F202,E202&lt;0,F202&lt;0,G202&lt;0,H202&lt;0),"Check numbers","OK"))</f>
        <v/>
      </c>
    </row>
    <row r="203" customFormat="false" ht="15" hidden="false" customHeight="false" outlineLevel="0" collapsed="false">
      <c r="A203" s="25"/>
      <c r="B203" s="21"/>
      <c r="C203" s="21"/>
      <c r="D203" s="21"/>
      <c r="E203" s="26"/>
      <c r="F203" s="26"/>
      <c r="G203" s="26"/>
      <c r="H203" s="23"/>
      <c r="I203" s="10" t="str">
        <f aca="false">IF($C203="","",G203*H203)</f>
        <v/>
      </c>
      <c r="J203" s="11" t="str">
        <f aca="false">IF(AND($C203&lt;&gt;"",E203&gt;0),F203/E203,"")</f>
        <v/>
      </c>
      <c r="K203" s="11" t="str">
        <f aca="false">IF(AND($C203&lt;&gt;"",F203&gt;0),G203/F203,"")</f>
        <v/>
      </c>
      <c r="L203" s="12" t="str">
        <f aca="false">IF(AND($C203&lt;&gt;"",F203&gt;0),I203/F203,"")</f>
        <v/>
      </c>
      <c r="M203" s="27" t="str">
        <f aca="false">IF($C203="","",IF(OR(F203=0,F203&lt;Settings!$B$5),"Need more data",IF(AND(K203&gt;=Settings!$B$6,L203&gt;=Settings!$B$7),"Keep",IF(AND(K203&lt;Settings!$B$6,L203&lt;Settings!$B$7),"Drop","Watch"))))</f>
        <v/>
      </c>
      <c r="N203" s="27" t="str">
        <f aca="false">IF($C203="","",IF(OR(F203&gt;E203,G203&gt;F203,E203&lt;0,F203&lt;0,G203&lt;0,H203&lt;0),"Check numbers","OK"))</f>
        <v/>
      </c>
    </row>
    <row r="204" customFormat="false" ht="15" hidden="false" customHeight="false" outlineLevel="0" collapsed="false">
      <c r="A204" s="25"/>
      <c r="B204" s="21"/>
      <c r="C204" s="21"/>
      <c r="D204" s="21"/>
      <c r="E204" s="26"/>
      <c r="F204" s="26"/>
      <c r="G204" s="26"/>
      <c r="H204" s="23"/>
      <c r="I204" s="10" t="str">
        <f aca="false">IF($C204="","",G204*H204)</f>
        <v/>
      </c>
      <c r="J204" s="11" t="str">
        <f aca="false">IF(AND($C204&lt;&gt;"",E204&gt;0),F204/E204,"")</f>
        <v/>
      </c>
      <c r="K204" s="11" t="str">
        <f aca="false">IF(AND($C204&lt;&gt;"",F204&gt;0),G204/F204,"")</f>
        <v/>
      </c>
      <c r="L204" s="12" t="str">
        <f aca="false">IF(AND($C204&lt;&gt;"",F204&gt;0),I204/F204,"")</f>
        <v/>
      </c>
      <c r="M204" s="27" t="str">
        <f aca="false">IF($C204="","",IF(OR(F204=0,F204&lt;Settings!$B$5),"Need more data",IF(AND(K204&gt;=Settings!$B$6,L204&gt;=Settings!$B$7),"Keep",IF(AND(K204&lt;Settings!$B$6,L204&lt;Settings!$B$7),"Drop","Watch"))))</f>
        <v/>
      </c>
      <c r="N204" s="27" t="str">
        <f aca="false">IF($C204="","",IF(OR(F204&gt;E204,G204&gt;F204,E204&lt;0,F204&lt;0,G204&lt;0,H204&lt;0),"Check numbers","OK"))</f>
        <v/>
      </c>
    </row>
    <row r="205" customFormat="false" ht="15" hidden="false" customHeight="false" outlineLevel="0" collapsed="false">
      <c r="A205" s="25"/>
      <c r="B205" s="21"/>
      <c r="C205" s="21"/>
      <c r="D205" s="21"/>
      <c r="E205" s="26"/>
      <c r="F205" s="26"/>
      <c r="G205" s="26"/>
      <c r="H205" s="23"/>
      <c r="I205" s="10" t="str">
        <f aca="false">IF($C205="","",G205*H205)</f>
        <v/>
      </c>
      <c r="J205" s="11" t="str">
        <f aca="false">IF(AND($C205&lt;&gt;"",E205&gt;0),F205/E205,"")</f>
        <v/>
      </c>
      <c r="K205" s="11" t="str">
        <f aca="false">IF(AND($C205&lt;&gt;"",F205&gt;0),G205/F205,"")</f>
        <v/>
      </c>
      <c r="L205" s="12" t="str">
        <f aca="false">IF(AND($C205&lt;&gt;"",F205&gt;0),I205/F205,"")</f>
        <v/>
      </c>
      <c r="M205" s="27" t="str">
        <f aca="false">IF($C205="","",IF(OR(F205=0,F205&lt;Settings!$B$5),"Need more data",IF(AND(K205&gt;=Settings!$B$6,L205&gt;=Settings!$B$7),"Keep",IF(AND(K205&lt;Settings!$B$6,L205&lt;Settings!$B$7),"Drop","Watch"))))</f>
        <v/>
      </c>
      <c r="N205" s="27" t="str">
        <f aca="false">IF($C205="","",IF(OR(F205&gt;E205,G205&gt;F205,E205&lt;0,F205&lt;0,G205&lt;0,H205&lt;0),"Check numbers","OK"))</f>
        <v/>
      </c>
    </row>
    <row r="206" customFormat="false" ht="15" hidden="false" customHeight="false" outlineLevel="0" collapsed="false">
      <c r="A206" s="25"/>
      <c r="B206" s="21"/>
      <c r="C206" s="21"/>
      <c r="D206" s="21"/>
      <c r="E206" s="26"/>
      <c r="F206" s="26"/>
      <c r="G206" s="26"/>
      <c r="H206" s="23"/>
      <c r="I206" s="10" t="str">
        <f aca="false">IF($C206="","",G206*H206)</f>
        <v/>
      </c>
      <c r="J206" s="11" t="str">
        <f aca="false">IF(AND($C206&lt;&gt;"",E206&gt;0),F206/E206,"")</f>
        <v/>
      </c>
      <c r="K206" s="11" t="str">
        <f aca="false">IF(AND($C206&lt;&gt;"",F206&gt;0),G206/F206,"")</f>
        <v/>
      </c>
      <c r="L206" s="12" t="str">
        <f aca="false">IF(AND($C206&lt;&gt;"",F206&gt;0),I206/F206,"")</f>
        <v/>
      </c>
      <c r="M206" s="27" t="str">
        <f aca="false">IF($C206="","",IF(OR(F206=0,F206&lt;Settings!$B$5),"Need more data",IF(AND(K206&gt;=Settings!$B$6,L206&gt;=Settings!$B$7),"Keep",IF(AND(K206&lt;Settings!$B$6,L206&lt;Settings!$B$7),"Drop","Watch"))))</f>
        <v/>
      </c>
      <c r="N206" s="27" t="str">
        <f aca="false">IF($C206="","",IF(OR(F206&gt;E206,G206&gt;F206,E206&lt;0,F206&lt;0,G206&lt;0,H206&lt;0),"Check numbers","OK"))</f>
        <v/>
      </c>
    </row>
    <row r="207" customFormat="false" ht="15" hidden="false" customHeight="false" outlineLevel="0" collapsed="false">
      <c r="A207" s="25"/>
      <c r="B207" s="21"/>
      <c r="C207" s="21"/>
      <c r="D207" s="21"/>
      <c r="E207" s="26"/>
      <c r="F207" s="26"/>
      <c r="G207" s="26"/>
      <c r="H207" s="23"/>
      <c r="I207" s="10" t="str">
        <f aca="false">IF($C207="","",G207*H207)</f>
        <v/>
      </c>
      <c r="J207" s="11" t="str">
        <f aca="false">IF(AND($C207&lt;&gt;"",E207&gt;0),F207/E207,"")</f>
        <v/>
      </c>
      <c r="K207" s="11" t="str">
        <f aca="false">IF(AND($C207&lt;&gt;"",F207&gt;0),G207/F207,"")</f>
        <v/>
      </c>
      <c r="L207" s="12" t="str">
        <f aca="false">IF(AND($C207&lt;&gt;"",F207&gt;0),I207/F207,"")</f>
        <v/>
      </c>
      <c r="M207" s="27" t="str">
        <f aca="false">IF($C207="","",IF(OR(F207=0,F207&lt;Settings!$B$5),"Need more data",IF(AND(K207&gt;=Settings!$B$6,L207&gt;=Settings!$B$7),"Keep",IF(AND(K207&lt;Settings!$B$6,L207&lt;Settings!$B$7),"Drop","Watch"))))</f>
        <v/>
      </c>
      <c r="N207" s="27" t="str">
        <f aca="false">IF($C207="","",IF(OR(F207&gt;E207,G207&gt;F207,E207&lt;0,F207&lt;0,G207&lt;0,H207&lt;0),"Check numbers","OK"))</f>
        <v/>
      </c>
    </row>
    <row r="208" customFormat="false" ht="15" hidden="false" customHeight="false" outlineLevel="0" collapsed="false">
      <c r="A208" s="25"/>
      <c r="B208" s="21"/>
      <c r="C208" s="21"/>
      <c r="D208" s="21"/>
      <c r="E208" s="26"/>
      <c r="F208" s="26"/>
      <c r="G208" s="26"/>
      <c r="H208" s="23"/>
      <c r="I208" s="10" t="str">
        <f aca="false">IF($C208="","",G208*H208)</f>
        <v/>
      </c>
      <c r="J208" s="11" t="str">
        <f aca="false">IF(AND($C208&lt;&gt;"",E208&gt;0),F208/E208,"")</f>
        <v/>
      </c>
      <c r="K208" s="11" t="str">
        <f aca="false">IF(AND($C208&lt;&gt;"",F208&gt;0),G208/F208,"")</f>
        <v/>
      </c>
      <c r="L208" s="12" t="str">
        <f aca="false">IF(AND($C208&lt;&gt;"",F208&gt;0),I208/F208,"")</f>
        <v/>
      </c>
      <c r="M208" s="27" t="str">
        <f aca="false">IF($C208="","",IF(OR(F208=0,F208&lt;Settings!$B$5),"Need more data",IF(AND(K208&gt;=Settings!$B$6,L208&gt;=Settings!$B$7),"Keep",IF(AND(K208&lt;Settings!$B$6,L208&lt;Settings!$B$7),"Drop","Watch"))))</f>
        <v/>
      </c>
      <c r="N208" s="27" t="str">
        <f aca="false">IF($C208="","",IF(OR(F208&gt;E208,G208&gt;F208,E208&lt;0,F208&lt;0,G208&lt;0,H208&lt;0),"Check numbers","OK"))</f>
        <v/>
      </c>
    </row>
    <row r="209" customFormat="false" ht="15" hidden="false" customHeight="false" outlineLevel="0" collapsed="false">
      <c r="A209" s="25"/>
      <c r="B209" s="21"/>
      <c r="C209" s="21"/>
      <c r="D209" s="21"/>
      <c r="E209" s="26"/>
      <c r="F209" s="26"/>
      <c r="G209" s="26"/>
      <c r="H209" s="23"/>
      <c r="I209" s="10" t="str">
        <f aca="false">IF($C209="","",G209*H209)</f>
        <v/>
      </c>
      <c r="J209" s="11" t="str">
        <f aca="false">IF(AND($C209&lt;&gt;"",E209&gt;0),F209/E209,"")</f>
        <v/>
      </c>
      <c r="K209" s="11" t="str">
        <f aca="false">IF(AND($C209&lt;&gt;"",F209&gt;0),G209/F209,"")</f>
        <v/>
      </c>
      <c r="L209" s="12" t="str">
        <f aca="false">IF(AND($C209&lt;&gt;"",F209&gt;0),I209/F209,"")</f>
        <v/>
      </c>
      <c r="M209" s="27" t="str">
        <f aca="false">IF($C209="","",IF(OR(F209=0,F209&lt;Settings!$B$5),"Need more data",IF(AND(K209&gt;=Settings!$B$6,L209&gt;=Settings!$B$7),"Keep",IF(AND(K209&lt;Settings!$B$6,L209&lt;Settings!$B$7),"Drop","Watch"))))</f>
        <v/>
      </c>
      <c r="N209" s="27" t="str">
        <f aca="false">IF($C209="","",IF(OR(F209&gt;E209,G209&gt;F209,E209&lt;0,F209&lt;0,G209&lt;0,H209&lt;0),"Check numbers","OK"))</f>
        <v/>
      </c>
    </row>
    <row r="210" customFormat="false" ht="15" hidden="false" customHeight="false" outlineLevel="0" collapsed="false">
      <c r="A210" s="25"/>
      <c r="B210" s="21"/>
      <c r="C210" s="21"/>
      <c r="D210" s="21"/>
      <c r="E210" s="26"/>
      <c r="F210" s="26"/>
      <c r="G210" s="26"/>
      <c r="H210" s="23"/>
      <c r="I210" s="10" t="str">
        <f aca="false">IF($C210="","",G210*H210)</f>
        <v/>
      </c>
      <c r="J210" s="11" t="str">
        <f aca="false">IF(AND($C210&lt;&gt;"",E210&gt;0),F210/E210,"")</f>
        <v/>
      </c>
      <c r="K210" s="11" t="str">
        <f aca="false">IF(AND($C210&lt;&gt;"",F210&gt;0),G210/F210,"")</f>
        <v/>
      </c>
      <c r="L210" s="12" t="str">
        <f aca="false">IF(AND($C210&lt;&gt;"",F210&gt;0),I210/F210,"")</f>
        <v/>
      </c>
      <c r="M210" s="27" t="str">
        <f aca="false">IF($C210="","",IF(OR(F210=0,F210&lt;Settings!$B$5),"Need more data",IF(AND(K210&gt;=Settings!$B$6,L210&gt;=Settings!$B$7),"Keep",IF(AND(K210&lt;Settings!$B$6,L210&lt;Settings!$B$7),"Drop","Watch"))))</f>
        <v/>
      </c>
      <c r="N210" s="27" t="str">
        <f aca="false">IF($C210="","",IF(OR(F210&gt;E210,G210&gt;F210,E210&lt;0,F210&lt;0,G210&lt;0,H210&lt;0),"Check numbers","OK"))</f>
        <v/>
      </c>
    </row>
    <row r="211" customFormat="false" ht="15" hidden="false" customHeight="false" outlineLevel="0" collapsed="false">
      <c r="A211" s="25"/>
      <c r="B211" s="21"/>
      <c r="C211" s="21"/>
      <c r="D211" s="21"/>
      <c r="E211" s="26"/>
      <c r="F211" s="26"/>
      <c r="G211" s="26"/>
      <c r="H211" s="23"/>
      <c r="I211" s="10" t="str">
        <f aca="false">IF($C211="","",G211*H211)</f>
        <v/>
      </c>
      <c r="J211" s="11" t="str">
        <f aca="false">IF(AND($C211&lt;&gt;"",E211&gt;0),F211/E211,"")</f>
        <v/>
      </c>
      <c r="K211" s="11" t="str">
        <f aca="false">IF(AND($C211&lt;&gt;"",F211&gt;0),G211/F211,"")</f>
        <v/>
      </c>
      <c r="L211" s="12" t="str">
        <f aca="false">IF(AND($C211&lt;&gt;"",F211&gt;0),I211/F211,"")</f>
        <v/>
      </c>
      <c r="M211" s="27" t="str">
        <f aca="false">IF($C211="","",IF(OR(F211=0,F211&lt;Settings!$B$5),"Need more data",IF(AND(K211&gt;=Settings!$B$6,L211&gt;=Settings!$B$7),"Keep",IF(AND(K211&lt;Settings!$B$6,L211&lt;Settings!$B$7),"Drop","Watch"))))</f>
        <v/>
      </c>
      <c r="N211" s="27" t="str">
        <f aca="false">IF($C211="","",IF(OR(F211&gt;E211,G211&gt;F211,E211&lt;0,F211&lt;0,G211&lt;0,H211&lt;0),"Check numbers","OK"))</f>
        <v/>
      </c>
    </row>
    <row r="212" customFormat="false" ht="15" hidden="false" customHeight="false" outlineLevel="0" collapsed="false">
      <c r="A212" s="25"/>
      <c r="B212" s="21"/>
      <c r="C212" s="21"/>
      <c r="D212" s="21"/>
      <c r="E212" s="26"/>
      <c r="F212" s="26"/>
      <c r="G212" s="26"/>
      <c r="H212" s="23"/>
      <c r="I212" s="10" t="str">
        <f aca="false">IF($C212="","",G212*H212)</f>
        <v/>
      </c>
      <c r="J212" s="11" t="str">
        <f aca="false">IF(AND($C212&lt;&gt;"",E212&gt;0),F212/E212,"")</f>
        <v/>
      </c>
      <c r="K212" s="11" t="str">
        <f aca="false">IF(AND($C212&lt;&gt;"",F212&gt;0),G212/F212,"")</f>
        <v/>
      </c>
      <c r="L212" s="12" t="str">
        <f aca="false">IF(AND($C212&lt;&gt;"",F212&gt;0),I212/F212,"")</f>
        <v/>
      </c>
      <c r="M212" s="27" t="str">
        <f aca="false">IF($C212="","",IF(OR(F212=0,F212&lt;Settings!$B$5),"Need more data",IF(AND(K212&gt;=Settings!$B$6,L212&gt;=Settings!$B$7),"Keep",IF(AND(K212&lt;Settings!$B$6,L212&lt;Settings!$B$7),"Drop","Watch"))))</f>
        <v/>
      </c>
      <c r="N212" s="27" t="str">
        <f aca="false">IF($C212="","",IF(OR(F212&gt;E212,G212&gt;F212,E212&lt;0,F212&lt;0,G212&lt;0,H212&lt;0),"Check numbers","OK"))</f>
        <v/>
      </c>
    </row>
    <row r="213" customFormat="false" ht="15" hidden="false" customHeight="false" outlineLevel="0" collapsed="false">
      <c r="A213" s="25"/>
      <c r="B213" s="21"/>
      <c r="C213" s="21"/>
      <c r="D213" s="21"/>
      <c r="E213" s="26"/>
      <c r="F213" s="26"/>
      <c r="G213" s="26"/>
      <c r="H213" s="23"/>
      <c r="I213" s="10" t="str">
        <f aca="false">IF($C213="","",G213*H213)</f>
        <v/>
      </c>
      <c r="J213" s="11" t="str">
        <f aca="false">IF(AND($C213&lt;&gt;"",E213&gt;0),F213/E213,"")</f>
        <v/>
      </c>
      <c r="K213" s="11" t="str">
        <f aca="false">IF(AND($C213&lt;&gt;"",F213&gt;0),G213/F213,"")</f>
        <v/>
      </c>
      <c r="L213" s="12" t="str">
        <f aca="false">IF(AND($C213&lt;&gt;"",F213&gt;0),I213/F213,"")</f>
        <v/>
      </c>
      <c r="M213" s="27" t="str">
        <f aca="false">IF($C213="","",IF(OR(F213=0,F213&lt;Settings!$B$5),"Need more data",IF(AND(K213&gt;=Settings!$B$6,L213&gt;=Settings!$B$7),"Keep",IF(AND(K213&lt;Settings!$B$6,L213&lt;Settings!$B$7),"Drop","Watch"))))</f>
        <v/>
      </c>
      <c r="N213" s="27" t="str">
        <f aca="false">IF($C213="","",IF(OR(F213&gt;E213,G213&gt;F213,E213&lt;0,F213&lt;0,G213&lt;0,H213&lt;0),"Check numbers","OK"))</f>
        <v/>
      </c>
    </row>
    <row r="214" customFormat="false" ht="15" hidden="false" customHeight="false" outlineLevel="0" collapsed="false">
      <c r="A214" s="25"/>
      <c r="B214" s="21"/>
      <c r="C214" s="21"/>
      <c r="D214" s="21"/>
      <c r="E214" s="26"/>
      <c r="F214" s="26"/>
      <c r="G214" s="26"/>
      <c r="H214" s="23"/>
      <c r="I214" s="10" t="str">
        <f aca="false">IF($C214="","",G214*H214)</f>
        <v/>
      </c>
      <c r="J214" s="11" t="str">
        <f aca="false">IF(AND($C214&lt;&gt;"",E214&gt;0),F214/E214,"")</f>
        <v/>
      </c>
      <c r="K214" s="11" t="str">
        <f aca="false">IF(AND($C214&lt;&gt;"",F214&gt;0),G214/F214,"")</f>
        <v/>
      </c>
      <c r="L214" s="12" t="str">
        <f aca="false">IF(AND($C214&lt;&gt;"",F214&gt;0),I214/F214,"")</f>
        <v/>
      </c>
      <c r="M214" s="27" t="str">
        <f aca="false">IF($C214="","",IF(OR(F214=0,F214&lt;Settings!$B$5),"Need more data",IF(AND(K214&gt;=Settings!$B$6,L214&gt;=Settings!$B$7),"Keep",IF(AND(K214&lt;Settings!$B$6,L214&lt;Settings!$B$7),"Drop","Watch"))))</f>
        <v/>
      </c>
      <c r="N214" s="27" t="str">
        <f aca="false">IF($C214="","",IF(OR(F214&gt;E214,G214&gt;F214,E214&lt;0,F214&lt;0,G214&lt;0,H214&lt;0),"Check numbers","OK"))</f>
        <v/>
      </c>
    </row>
    <row r="215" customFormat="false" ht="15" hidden="false" customHeight="false" outlineLevel="0" collapsed="false">
      <c r="A215" s="25"/>
      <c r="B215" s="21"/>
      <c r="C215" s="21"/>
      <c r="D215" s="21"/>
      <c r="E215" s="26"/>
      <c r="F215" s="26"/>
      <c r="G215" s="26"/>
      <c r="H215" s="23"/>
      <c r="I215" s="10" t="str">
        <f aca="false">IF($C215="","",G215*H215)</f>
        <v/>
      </c>
      <c r="J215" s="11" t="str">
        <f aca="false">IF(AND($C215&lt;&gt;"",E215&gt;0),F215/E215,"")</f>
        <v/>
      </c>
      <c r="K215" s="11" t="str">
        <f aca="false">IF(AND($C215&lt;&gt;"",F215&gt;0),G215/F215,"")</f>
        <v/>
      </c>
      <c r="L215" s="12" t="str">
        <f aca="false">IF(AND($C215&lt;&gt;"",F215&gt;0),I215/F215,"")</f>
        <v/>
      </c>
      <c r="M215" s="27" t="str">
        <f aca="false">IF($C215="","",IF(OR(F215=0,F215&lt;Settings!$B$5),"Need more data",IF(AND(K215&gt;=Settings!$B$6,L215&gt;=Settings!$B$7),"Keep",IF(AND(K215&lt;Settings!$B$6,L215&lt;Settings!$B$7),"Drop","Watch"))))</f>
        <v/>
      </c>
      <c r="N215" s="27" t="str">
        <f aca="false">IF($C215="","",IF(OR(F215&gt;E215,G215&gt;F215,E215&lt;0,F215&lt;0,G215&lt;0,H215&lt;0),"Check numbers","OK"))</f>
        <v/>
      </c>
    </row>
    <row r="216" customFormat="false" ht="15" hidden="false" customHeight="false" outlineLevel="0" collapsed="false">
      <c r="A216" s="25"/>
      <c r="B216" s="21"/>
      <c r="C216" s="21"/>
      <c r="D216" s="21"/>
      <c r="E216" s="26"/>
      <c r="F216" s="26"/>
      <c r="G216" s="26"/>
      <c r="H216" s="23"/>
      <c r="I216" s="10" t="str">
        <f aca="false">IF($C216="","",G216*H216)</f>
        <v/>
      </c>
      <c r="J216" s="11" t="str">
        <f aca="false">IF(AND($C216&lt;&gt;"",E216&gt;0),F216/E216,"")</f>
        <v/>
      </c>
      <c r="K216" s="11" t="str">
        <f aca="false">IF(AND($C216&lt;&gt;"",F216&gt;0),G216/F216,"")</f>
        <v/>
      </c>
      <c r="L216" s="12" t="str">
        <f aca="false">IF(AND($C216&lt;&gt;"",F216&gt;0),I216/F216,"")</f>
        <v/>
      </c>
      <c r="M216" s="27" t="str">
        <f aca="false">IF($C216="","",IF(OR(F216=0,F216&lt;Settings!$B$5),"Need more data",IF(AND(K216&gt;=Settings!$B$6,L216&gt;=Settings!$B$7),"Keep",IF(AND(K216&lt;Settings!$B$6,L216&lt;Settings!$B$7),"Drop","Watch"))))</f>
        <v/>
      </c>
      <c r="N216" s="27" t="str">
        <f aca="false">IF($C216="","",IF(OR(F216&gt;E216,G216&gt;F216,E216&lt;0,F216&lt;0,G216&lt;0,H216&lt;0),"Check numbers","OK"))</f>
        <v/>
      </c>
    </row>
    <row r="217" customFormat="false" ht="15" hidden="false" customHeight="false" outlineLevel="0" collapsed="false">
      <c r="A217" s="25"/>
      <c r="B217" s="21"/>
      <c r="C217" s="21"/>
      <c r="D217" s="21"/>
      <c r="E217" s="26"/>
      <c r="F217" s="26"/>
      <c r="G217" s="26"/>
      <c r="H217" s="23"/>
      <c r="I217" s="10" t="str">
        <f aca="false">IF($C217="","",G217*H217)</f>
        <v/>
      </c>
      <c r="J217" s="11" t="str">
        <f aca="false">IF(AND($C217&lt;&gt;"",E217&gt;0),F217/E217,"")</f>
        <v/>
      </c>
      <c r="K217" s="11" t="str">
        <f aca="false">IF(AND($C217&lt;&gt;"",F217&gt;0),G217/F217,"")</f>
        <v/>
      </c>
      <c r="L217" s="12" t="str">
        <f aca="false">IF(AND($C217&lt;&gt;"",F217&gt;0),I217/F217,"")</f>
        <v/>
      </c>
      <c r="M217" s="27" t="str">
        <f aca="false">IF($C217="","",IF(OR(F217=0,F217&lt;Settings!$B$5),"Need more data",IF(AND(K217&gt;=Settings!$B$6,L217&gt;=Settings!$B$7),"Keep",IF(AND(K217&lt;Settings!$B$6,L217&lt;Settings!$B$7),"Drop","Watch"))))</f>
        <v/>
      </c>
      <c r="N217" s="27" t="str">
        <f aca="false">IF($C217="","",IF(OR(F217&gt;E217,G217&gt;F217,E217&lt;0,F217&lt;0,G217&lt;0,H217&lt;0),"Check numbers","OK"))</f>
        <v/>
      </c>
    </row>
    <row r="218" customFormat="false" ht="15" hidden="false" customHeight="false" outlineLevel="0" collapsed="false">
      <c r="A218" s="25"/>
      <c r="B218" s="21"/>
      <c r="C218" s="21"/>
      <c r="D218" s="21"/>
      <c r="E218" s="26"/>
      <c r="F218" s="26"/>
      <c r="G218" s="26"/>
      <c r="H218" s="23"/>
      <c r="I218" s="10" t="str">
        <f aca="false">IF($C218="","",G218*H218)</f>
        <v/>
      </c>
      <c r="J218" s="11" t="str">
        <f aca="false">IF(AND($C218&lt;&gt;"",E218&gt;0),F218/E218,"")</f>
        <v/>
      </c>
      <c r="K218" s="11" t="str">
        <f aca="false">IF(AND($C218&lt;&gt;"",F218&gt;0),G218/F218,"")</f>
        <v/>
      </c>
      <c r="L218" s="12" t="str">
        <f aca="false">IF(AND($C218&lt;&gt;"",F218&gt;0),I218/F218,"")</f>
        <v/>
      </c>
      <c r="M218" s="27" t="str">
        <f aca="false">IF($C218="","",IF(OR(F218=0,F218&lt;Settings!$B$5),"Need more data",IF(AND(K218&gt;=Settings!$B$6,L218&gt;=Settings!$B$7),"Keep",IF(AND(K218&lt;Settings!$B$6,L218&lt;Settings!$B$7),"Drop","Watch"))))</f>
        <v/>
      </c>
      <c r="N218" s="27" t="str">
        <f aca="false">IF($C218="","",IF(OR(F218&gt;E218,G218&gt;F218,E218&lt;0,F218&lt;0,G218&lt;0,H218&lt;0),"Check numbers","OK"))</f>
        <v/>
      </c>
    </row>
    <row r="219" customFormat="false" ht="15" hidden="false" customHeight="false" outlineLevel="0" collapsed="false">
      <c r="A219" s="25"/>
      <c r="B219" s="21"/>
      <c r="C219" s="21"/>
      <c r="D219" s="21"/>
      <c r="E219" s="26"/>
      <c r="F219" s="26"/>
      <c r="G219" s="26"/>
      <c r="H219" s="23"/>
      <c r="I219" s="10" t="str">
        <f aca="false">IF($C219="","",G219*H219)</f>
        <v/>
      </c>
      <c r="J219" s="11" t="str">
        <f aca="false">IF(AND($C219&lt;&gt;"",E219&gt;0),F219/E219,"")</f>
        <v/>
      </c>
      <c r="K219" s="11" t="str">
        <f aca="false">IF(AND($C219&lt;&gt;"",F219&gt;0),G219/F219,"")</f>
        <v/>
      </c>
      <c r="L219" s="12" t="str">
        <f aca="false">IF(AND($C219&lt;&gt;"",F219&gt;0),I219/F219,"")</f>
        <v/>
      </c>
      <c r="M219" s="27" t="str">
        <f aca="false">IF($C219="","",IF(OR(F219=0,F219&lt;Settings!$B$5),"Need more data",IF(AND(K219&gt;=Settings!$B$6,L219&gt;=Settings!$B$7),"Keep",IF(AND(K219&lt;Settings!$B$6,L219&lt;Settings!$B$7),"Drop","Watch"))))</f>
        <v/>
      </c>
      <c r="N219" s="27" t="str">
        <f aca="false">IF($C219="","",IF(OR(F219&gt;E219,G219&gt;F219,E219&lt;0,F219&lt;0,G219&lt;0,H219&lt;0),"Check numbers","OK"))</f>
        <v/>
      </c>
    </row>
    <row r="220" customFormat="false" ht="15" hidden="false" customHeight="false" outlineLevel="0" collapsed="false">
      <c r="A220" s="25"/>
      <c r="B220" s="21"/>
      <c r="C220" s="21"/>
      <c r="D220" s="21"/>
      <c r="E220" s="26"/>
      <c r="F220" s="26"/>
      <c r="G220" s="26"/>
      <c r="H220" s="23"/>
      <c r="I220" s="10" t="str">
        <f aca="false">IF($C220="","",G220*H220)</f>
        <v/>
      </c>
      <c r="J220" s="11" t="str">
        <f aca="false">IF(AND($C220&lt;&gt;"",E220&gt;0),F220/E220,"")</f>
        <v/>
      </c>
      <c r="K220" s="11" t="str">
        <f aca="false">IF(AND($C220&lt;&gt;"",F220&gt;0),G220/F220,"")</f>
        <v/>
      </c>
      <c r="L220" s="12" t="str">
        <f aca="false">IF(AND($C220&lt;&gt;"",F220&gt;0),I220/F220,"")</f>
        <v/>
      </c>
      <c r="M220" s="27" t="str">
        <f aca="false">IF($C220="","",IF(OR(F220=0,F220&lt;Settings!$B$5),"Need more data",IF(AND(K220&gt;=Settings!$B$6,L220&gt;=Settings!$B$7),"Keep",IF(AND(K220&lt;Settings!$B$6,L220&lt;Settings!$B$7),"Drop","Watch"))))</f>
        <v/>
      </c>
      <c r="N220" s="27" t="str">
        <f aca="false">IF($C220="","",IF(OR(F220&gt;E220,G220&gt;F220,E220&lt;0,F220&lt;0,G220&lt;0,H220&lt;0),"Check numbers","OK"))</f>
        <v/>
      </c>
    </row>
    <row r="221" customFormat="false" ht="15" hidden="false" customHeight="false" outlineLevel="0" collapsed="false">
      <c r="A221" s="25"/>
      <c r="B221" s="21"/>
      <c r="C221" s="21"/>
      <c r="D221" s="21"/>
      <c r="E221" s="26"/>
      <c r="F221" s="26"/>
      <c r="G221" s="26"/>
      <c r="H221" s="23"/>
      <c r="I221" s="10" t="str">
        <f aca="false">IF($C221="","",G221*H221)</f>
        <v/>
      </c>
      <c r="J221" s="11" t="str">
        <f aca="false">IF(AND($C221&lt;&gt;"",E221&gt;0),F221/E221,"")</f>
        <v/>
      </c>
      <c r="K221" s="11" t="str">
        <f aca="false">IF(AND($C221&lt;&gt;"",F221&gt;0),G221/F221,"")</f>
        <v/>
      </c>
      <c r="L221" s="12" t="str">
        <f aca="false">IF(AND($C221&lt;&gt;"",F221&gt;0),I221/F221,"")</f>
        <v/>
      </c>
      <c r="M221" s="27" t="str">
        <f aca="false">IF($C221="","",IF(OR(F221=0,F221&lt;Settings!$B$5),"Need more data",IF(AND(K221&gt;=Settings!$B$6,L221&gt;=Settings!$B$7),"Keep",IF(AND(K221&lt;Settings!$B$6,L221&lt;Settings!$B$7),"Drop","Watch"))))</f>
        <v/>
      </c>
      <c r="N221" s="27" t="str">
        <f aca="false">IF($C221="","",IF(OR(F221&gt;E221,G221&gt;F221,E221&lt;0,F221&lt;0,G221&lt;0,H221&lt;0),"Check numbers","OK"))</f>
        <v/>
      </c>
    </row>
    <row r="222" customFormat="false" ht="15" hidden="false" customHeight="false" outlineLevel="0" collapsed="false">
      <c r="A222" s="25"/>
      <c r="B222" s="21"/>
      <c r="C222" s="21"/>
      <c r="D222" s="21"/>
      <c r="E222" s="26"/>
      <c r="F222" s="26"/>
      <c r="G222" s="26"/>
      <c r="H222" s="23"/>
      <c r="I222" s="10" t="str">
        <f aca="false">IF($C222="","",G222*H222)</f>
        <v/>
      </c>
      <c r="J222" s="11" t="str">
        <f aca="false">IF(AND($C222&lt;&gt;"",E222&gt;0),F222/E222,"")</f>
        <v/>
      </c>
      <c r="K222" s="11" t="str">
        <f aca="false">IF(AND($C222&lt;&gt;"",F222&gt;0),G222/F222,"")</f>
        <v/>
      </c>
      <c r="L222" s="12" t="str">
        <f aca="false">IF(AND($C222&lt;&gt;"",F222&gt;0),I222/F222,"")</f>
        <v/>
      </c>
      <c r="M222" s="27" t="str">
        <f aca="false">IF($C222="","",IF(OR(F222=0,F222&lt;Settings!$B$5),"Need more data",IF(AND(K222&gt;=Settings!$B$6,L222&gt;=Settings!$B$7),"Keep",IF(AND(K222&lt;Settings!$B$6,L222&lt;Settings!$B$7),"Drop","Watch"))))</f>
        <v/>
      </c>
      <c r="N222" s="27" t="str">
        <f aca="false">IF($C222="","",IF(OR(F222&gt;E222,G222&gt;F222,E222&lt;0,F222&lt;0,G222&lt;0,H222&lt;0),"Check numbers","OK"))</f>
        <v/>
      </c>
    </row>
    <row r="223" customFormat="false" ht="15" hidden="false" customHeight="false" outlineLevel="0" collapsed="false">
      <c r="A223" s="25"/>
      <c r="B223" s="21"/>
      <c r="C223" s="21"/>
      <c r="D223" s="21"/>
      <c r="E223" s="26"/>
      <c r="F223" s="26"/>
      <c r="G223" s="26"/>
      <c r="H223" s="23"/>
      <c r="I223" s="10" t="str">
        <f aca="false">IF($C223="","",G223*H223)</f>
        <v/>
      </c>
      <c r="J223" s="11" t="str">
        <f aca="false">IF(AND($C223&lt;&gt;"",E223&gt;0),F223/E223,"")</f>
        <v/>
      </c>
      <c r="K223" s="11" t="str">
        <f aca="false">IF(AND($C223&lt;&gt;"",F223&gt;0),G223/F223,"")</f>
        <v/>
      </c>
      <c r="L223" s="12" t="str">
        <f aca="false">IF(AND($C223&lt;&gt;"",F223&gt;0),I223/F223,"")</f>
        <v/>
      </c>
      <c r="M223" s="27" t="str">
        <f aca="false">IF($C223="","",IF(OR(F223=0,F223&lt;Settings!$B$5),"Need more data",IF(AND(K223&gt;=Settings!$B$6,L223&gt;=Settings!$B$7),"Keep",IF(AND(K223&lt;Settings!$B$6,L223&lt;Settings!$B$7),"Drop","Watch"))))</f>
        <v/>
      </c>
      <c r="N223" s="27" t="str">
        <f aca="false">IF($C223="","",IF(OR(F223&gt;E223,G223&gt;F223,E223&lt;0,F223&lt;0,G223&lt;0,H223&lt;0),"Check numbers","OK"))</f>
        <v/>
      </c>
    </row>
    <row r="224" customFormat="false" ht="15" hidden="false" customHeight="false" outlineLevel="0" collapsed="false">
      <c r="A224" s="25"/>
      <c r="B224" s="21"/>
      <c r="C224" s="21"/>
      <c r="D224" s="21"/>
      <c r="E224" s="26"/>
      <c r="F224" s="26"/>
      <c r="G224" s="26"/>
      <c r="H224" s="23"/>
      <c r="I224" s="10" t="str">
        <f aca="false">IF($C224="","",G224*H224)</f>
        <v/>
      </c>
      <c r="J224" s="11" t="str">
        <f aca="false">IF(AND($C224&lt;&gt;"",E224&gt;0),F224/E224,"")</f>
        <v/>
      </c>
      <c r="K224" s="11" t="str">
        <f aca="false">IF(AND($C224&lt;&gt;"",F224&gt;0),G224/F224,"")</f>
        <v/>
      </c>
      <c r="L224" s="12" t="str">
        <f aca="false">IF(AND($C224&lt;&gt;"",F224&gt;0),I224/F224,"")</f>
        <v/>
      </c>
      <c r="M224" s="27" t="str">
        <f aca="false">IF($C224="","",IF(OR(F224=0,F224&lt;Settings!$B$5),"Need more data",IF(AND(K224&gt;=Settings!$B$6,L224&gt;=Settings!$B$7),"Keep",IF(AND(K224&lt;Settings!$B$6,L224&lt;Settings!$B$7),"Drop","Watch"))))</f>
        <v/>
      </c>
      <c r="N224" s="27" t="str">
        <f aca="false">IF($C224="","",IF(OR(F224&gt;E224,G224&gt;F224,E224&lt;0,F224&lt;0,G224&lt;0,H224&lt;0),"Check numbers","OK"))</f>
        <v/>
      </c>
    </row>
    <row r="225" customFormat="false" ht="15" hidden="false" customHeight="false" outlineLevel="0" collapsed="false">
      <c r="A225" s="25"/>
      <c r="B225" s="21"/>
      <c r="C225" s="21"/>
      <c r="D225" s="21"/>
      <c r="E225" s="26"/>
      <c r="F225" s="26"/>
      <c r="G225" s="26"/>
      <c r="H225" s="23"/>
      <c r="I225" s="10" t="str">
        <f aca="false">IF($C225="","",G225*H225)</f>
        <v/>
      </c>
      <c r="J225" s="11" t="str">
        <f aca="false">IF(AND($C225&lt;&gt;"",E225&gt;0),F225/E225,"")</f>
        <v/>
      </c>
      <c r="K225" s="11" t="str">
        <f aca="false">IF(AND($C225&lt;&gt;"",F225&gt;0),G225/F225,"")</f>
        <v/>
      </c>
      <c r="L225" s="12" t="str">
        <f aca="false">IF(AND($C225&lt;&gt;"",F225&gt;0),I225/F225,"")</f>
        <v/>
      </c>
      <c r="M225" s="27" t="str">
        <f aca="false">IF($C225="","",IF(OR(F225=0,F225&lt;Settings!$B$5),"Need more data",IF(AND(K225&gt;=Settings!$B$6,L225&gt;=Settings!$B$7),"Keep",IF(AND(K225&lt;Settings!$B$6,L225&lt;Settings!$B$7),"Drop","Watch"))))</f>
        <v/>
      </c>
      <c r="N225" s="27" t="str">
        <f aca="false">IF($C225="","",IF(OR(F225&gt;E225,G225&gt;F225,E225&lt;0,F225&lt;0,G225&lt;0,H225&lt;0),"Check numbers","OK"))</f>
        <v/>
      </c>
    </row>
    <row r="226" customFormat="false" ht="15" hidden="false" customHeight="false" outlineLevel="0" collapsed="false">
      <c r="A226" s="25"/>
      <c r="B226" s="21"/>
      <c r="C226" s="21"/>
      <c r="D226" s="21"/>
      <c r="E226" s="26"/>
      <c r="F226" s="26"/>
      <c r="G226" s="26"/>
      <c r="H226" s="23"/>
      <c r="I226" s="10" t="str">
        <f aca="false">IF($C226="","",G226*H226)</f>
        <v/>
      </c>
      <c r="J226" s="11" t="str">
        <f aca="false">IF(AND($C226&lt;&gt;"",E226&gt;0),F226/E226,"")</f>
        <v/>
      </c>
      <c r="K226" s="11" t="str">
        <f aca="false">IF(AND($C226&lt;&gt;"",F226&gt;0),G226/F226,"")</f>
        <v/>
      </c>
      <c r="L226" s="12" t="str">
        <f aca="false">IF(AND($C226&lt;&gt;"",F226&gt;0),I226/F226,"")</f>
        <v/>
      </c>
      <c r="M226" s="27" t="str">
        <f aca="false">IF($C226="","",IF(OR(F226=0,F226&lt;Settings!$B$5),"Need more data",IF(AND(K226&gt;=Settings!$B$6,L226&gt;=Settings!$B$7),"Keep",IF(AND(K226&lt;Settings!$B$6,L226&lt;Settings!$B$7),"Drop","Watch"))))</f>
        <v/>
      </c>
      <c r="N226" s="27" t="str">
        <f aca="false">IF($C226="","",IF(OR(F226&gt;E226,G226&gt;F226,E226&lt;0,F226&lt;0,G226&lt;0,H226&lt;0),"Check numbers","OK"))</f>
        <v/>
      </c>
    </row>
    <row r="227" customFormat="false" ht="15" hidden="false" customHeight="false" outlineLevel="0" collapsed="false">
      <c r="A227" s="25"/>
      <c r="B227" s="21"/>
      <c r="C227" s="21"/>
      <c r="D227" s="21"/>
      <c r="E227" s="26"/>
      <c r="F227" s="26"/>
      <c r="G227" s="26"/>
      <c r="H227" s="23"/>
      <c r="I227" s="10" t="str">
        <f aca="false">IF($C227="","",G227*H227)</f>
        <v/>
      </c>
      <c r="J227" s="11" t="str">
        <f aca="false">IF(AND($C227&lt;&gt;"",E227&gt;0),F227/E227,"")</f>
        <v/>
      </c>
      <c r="K227" s="11" t="str">
        <f aca="false">IF(AND($C227&lt;&gt;"",F227&gt;0),G227/F227,"")</f>
        <v/>
      </c>
      <c r="L227" s="12" t="str">
        <f aca="false">IF(AND($C227&lt;&gt;"",F227&gt;0),I227/F227,"")</f>
        <v/>
      </c>
      <c r="M227" s="27" t="str">
        <f aca="false">IF($C227="","",IF(OR(F227=0,F227&lt;Settings!$B$5),"Need more data",IF(AND(K227&gt;=Settings!$B$6,L227&gt;=Settings!$B$7),"Keep",IF(AND(K227&lt;Settings!$B$6,L227&lt;Settings!$B$7),"Drop","Watch"))))</f>
        <v/>
      </c>
      <c r="N227" s="27" t="str">
        <f aca="false">IF($C227="","",IF(OR(F227&gt;E227,G227&gt;F227,E227&lt;0,F227&lt;0,G227&lt;0,H227&lt;0),"Check numbers","OK"))</f>
        <v/>
      </c>
    </row>
    <row r="228" customFormat="false" ht="15" hidden="false" customHeight="false" outlineLevel="0" collapsed="false">
      <c r="A228" s="25"/>
      <c r="B228" s="21"/>
      <c r="C228" s="21"/>
      <c r="D228" s="21"/>
      <c r="E228" s="26"/>
      <c r="F228" s="26"/>
      <c r="G228" s="26"/>
      <c r="H228" s="23"/>
      <c r="I228" s="10" t="str">
        <f aca="false">IF($C228="","",G228*H228)</f>
        <v/>
      </c>
      <c r="J228" s="11" t="str">
        <f aca="false">IF(AND($C228&lt;&gt;"",E228&gt;0),F228/E228,"")</f>
        <v/>
      </c>
      <c r="K228" s="11" t="str">
        <f aca="false">IF(AND($C228&lt;&gt;"",F228&gt;0),G228/F228,"")</f>
        <v/>
      </c>
      <c r="L228" s="12" t="str">
        <f aca="false">IF(AND($C228&lt;&gt;"",F228&gt;0),I228/F228,"")</f>
        <v/>
      </c>
      <c r="M228" s="27" t="str">
        <f aca="false">IF($C228="","",IF(OR(F228=0,F228&lt;Settings!$B$5),"Need more data",IF(AND(K228&gt;=Settings!$B$6,L228&gt;=Settings!$B$7),"Keep",IF(AND(K228&lt;Settings!$B$6,L228&lt;Settings!$B$7),"Drop","Watch"))))</f>
        <v/>
      </c>
      <c r="N228" s="27" t="str">
        <f aca="false">IF($C228="","",IF(OR(F228&gt;E228,G228&gt;F228,E228&lt;0,F228&lt;0,G228&lt;0,H228&lt;0),"Check numbers","OK"))</f>
        <v/>
      </c>
    </row>
    <row r="229" customFormat="false" ht="15" hidden="false" customHeight="false" outlineLevel="0" collapsed="false">
      <c r="A229" s="25"/>
      <c r="B229" s="21"/>
      <c r="C229" s="21"/>
      <c r="D229" s="21"/>
      <c r="E229" s="26"/>
      <c r="F229" s="26"/>
      <c r="G229" s="26"/>
      <c r="H229" s="23"/>
      <c r="I229" s="10" t="str">
        <f aca="false">IF($C229="","",G229*H229)</f>
        <v/>
      </c>
      <c r="J229" s="11" t="str">
        <f aca="false">IF(AND($C229&lt;&gt;"",E229&gt;0),F229/E229,"")</f>
        <v/>
      </c>
      <c r="K229" s="11" t="str">
        <f aca="false">IF(AND($C229&lt;&gt;"",F229&gt;0),G229/F229,"")</f>
        <v/>
      </c>
      <c r="L229" s="12" t="str">
        <f aca="false">IF(AND($C229&lt;&gt;"",F229&gt;0),I229/F229,"")</f>
        <v/>
      </c>
      <c r="M229" s="27" t="str">
        <f aca="false">IF($C229="","",IF(OR(F229=0,F229&lt;Settings!$B$5),"Need more data",IF(AND(K229&gt;=Settings!$B$6,L229&gt;=Settings!$B$7),"Keep",IF(AND(K229&lt;Settings!$B$6,L229&lt;Settings!$B$7),"Drop","Watch"))))</f>
        <v/>
      </c>
      <c r="N229" s="27" t="str">
        <f aca="false">IF($C229="","",IF(OR(F229&gt;E229,G229&gt;F229,E229&lt;0,F229&lt;0,G229&lt;0,H229&lt;0),"Check numbers","OK"))</f>
        <v/>
      </c>
    </row>
    <row r="230" customFormat="false" ht="15" hidden="false" customHeight="false" outlineLevel="0" collapsed="false">
      <c r="A230" s="25"/>
      <c r="B230" s="21"/>
      <c r="C230" s="21"/>
      <c r="D230" s="21"/>
      <c r="E230" s="26"/>
      <c r="F230" s="26"/>
      <c r="G230" s="26"/>
      <c r="H230" s="23"/>
      <c r="I230" s="10" t="str">
        <f aca="false">IF($C230="","",G230*H230)</f>
        <v/>
      </c>
      <c r="J230" s="11" t="str">
        <f aca="false">IF(AND($C230&lt;&gt;"",E230&gt;0),F230/E230,"")</f>
        <v/>
      </c>
      <c r="K230" s="11" t="str">
        <f aca="false">IF(AND($C230&lt;&gt;"",F230&gt;0),G230/F230,"")</f>
        <v/>
      </c>
      <c r="L230" s="12" t="str">
        <f aca="false">IF(AND($C230&lt;&gt;"",F230&gt;0),I230/F230,"")</f>
        <v/>
      </c>
      <c r="M230" s="27" t="str">
        <f aca="false">IF($C230="","",IF(OR(F230=0,F230&lt;Settings!$B$5),"Need more data",IF(AND(K230&gt;=Settings!$B$6,L230&gt;=Settings!$B$7),"Keep",IF(AND(K230&lt;Settings!$B$6,L230&lt;Settings!$B$7),"Drop","Watch"))))</f>
        <v/>
      </c>
      <c r="N230" s="27" t="str">
        <f aca="false">IF($C230="","",IF(OR(F230&gt;E230,G230&gt;F230,E230&lt;0,F230&lt;0,G230&lt;0,H230&lt;0),"Check numbers","OK"))</f>
        <v/>
      </c>
    </row>
    <row r="231" customFormat="false" ht="15" hidden="false" customHeight="false" outlineLevel="0" collapsed="false">
      <c r="A231" s="25"/>
      <c r="B231" s="21"/>
      <c r="C231" s="21"/>
      <c r="D231" s="21"/>
      <c r="E231" s="26"/>
      <c r="F231" s="26"/>
      <c r="G231" s="26"/>
      <c r="H231" s="23"/>
      <c r="I231" s="10" t="str">
        <f aca="false">IF($C231="","",G231*H231)</f>
        <v/>
      </c>
      <c r="J231" s="11" t="str">
        <f aca="false">IF(AND($C231&lt;&gt;"",E231&gt;0),F231/E231,"")</f>
        <v/>
      </c>
      <c r="K231" s="11" t="str">
        <f aca="false">IF(AND($C231&lt;&gt;"",F231&gt;0),G231/F231,"")</f>
        <v/>
      </c>
      <c r="L231" s="12" t="str">
        <f aca="false">IF(AND($C231&lt;&gt;"",F231&gt;0),I231/F231,"")</f>
        <v/>
      </c>
      <c r="M231" s="27" t="str">
        <f aca="false">IF($C231="","",IF(OR(F231=0,F231&lt;Settings!$B$5),"Need more data",IF(AND(K231&gt;=Settings!$B$6,L231&gt;=Settings!$B$7),"Keep",IF(AND(K231&lt;Settings!$B$6,L231&lt;Settings!$B$7),"Drop","Watch"))))</f>
        <v/>
      </c>
      <c r="N231" s="27" t="str">
        <f aca="false">IF($C231="","",IF(OR(F231&gt;E231,G231&gt;F231,E231&lt;0,F231&lt;0,G231&lt;0,H231&lt;0),"Check numbers","OK"))</f>
        <v/>
      </c>
    </row>
    <row r="232" customFormat="false" ht="15" hidden="false" customHeight="false" outlineLevel="0" collapsed="false">
      <c r="A232" s="25"/>
      <c r="B232" s="21"/>
      <c r="C232" s="21"/>
      <c r="D232" s="21"/>
      <c r="E232" s="26"/>
      <c r="F232" s="26"/>
      <c r="G232" s="26"/>
      <c r="H232" s="23"/>
      <c r="I232" s="10" t="str">
        <f aca="false">IF($C232="","",G232*H232)</f>
        <v/>
      </c>
      <c r="J232" s="11" t="str">
        <f aca="false">IF(AND($C232&lt;&gt;"",E232&gt;0),F232/E232,"")</f>
        <v/>
      </c>
      <c r="K232" s="11" t="str">
        <f aca="false">IF(AND($C232&lt;&gt;"",F232&gt;0),G232/F232,"")</f>
        <v/>
      </c>
      <c r="L232" s="12" t="str">
        <f aca="false">IF(AND($C232&lt;&gt;"",F232&gt;0),I232/F232,"")</f>
        <v/>
      </c>
      <c r="M232" s="27" t="str">
        <f aca="false">IF($C232="","",IF(OR(F232=0,F232&lt;Settings!$B$5),"Need more data",IF(AND(K232&gt;=Settings!$B$6,L232&gt;=Settings!$B$7),"Keep",IF(AND(K232&lt;Settings!$B$6,L232&lt;Settings!$B$7),"Drop","Watch"))))</f>
        <v/>
      </c>
      <c r="N232" s="27" t="str">
        <f aca="false">IF($C232="","",IF(OR(F232&gt;E232,G232&gt;F232,E232&lt;0,F232&lt;0,G232&lt;0,H232&lt;0),"Check numbers","OK"))</f>
        <v/>
      </c>
    </row>
    <row r="233" customFormat="false" ht="15" hidden="false" customHeight="false" outlineLevel="0" collapsed="false">
      <c r="A233" s="25"/>
      <c r="B233" s="21"/>
      <c r="C233" s="21"/>
      <c r="D233" s="21"/>
      <c r="E233" s="26"/>
      <c r="F233" s="26"/>
      <c r="G233" s="26"/>
      <c r="H233" s="23"/>
      <c r="I233" s="10" t="str">
        <f aca="false">IF($C233="","",G233*H233)</f>
        <v/>
      </c>
      <c r="J233" s="11" t="str">
        <f aca="false">IF(AND($C233&lt;&gt;"",E233&gt;0),F233/E233,"")</f>
        <v/>
      </c>
      <c r="K233" s="11" t="str">
        <f aca="false">IF(AND($C233&lt;&gt;"",F233&gt;0),G233/F233,"")</f>
        <v/>
      </c>
      <c r="L233" s="12" t="str">
        <f aca="false">IF(AND($C233&lt;&gt;"",F233&gt;0),I233/F233,"")</f>
        <v/>
      </c>
      <c r="M233" s="27" t="str">
        <f aca="false">IF($C233="","",IF(OR(F233=0,F233&lt;Settings!$B$5),"Need more data",IF(AND(K233&gt;=Settings!$B$6,L233&gt;=Settings!$B$7),"Keep",IF(AND(K233&lt;Settings!$B$6,L233&lt;Settings!$B$7),"Drop","Watch"))))</f>
        <v/>
      </c>
      <c r="N233" s="27" t="str">
        <f aca="false">IF($C233="","",IF(OR(F233&gt;E233,G233&gt;F233,E233&lt;0,F233&lt;0,G233&lt;0,H233&lt;0),"Check numbers","OK"))</f>
        <v/>
      </c>
    </row>
    <row r="234" customFormat="false" ht="15" hidden="false" customHeight="false" outlineLevel="0" collapsed="false">
      <c r="A234" s="25"/>
      <c r="B234" s="21"/>
      <c r="C234" s="21"/>
      <c r="D234" s="21"/>
      <c r="E234" s="26"/>
      <c r="F234" s="26"/>
      <c r="G234" s="26"/>
      <c r="H234" s="23"/>
      <c r="I234" s="10" t="str">
        <f aca="false">IF($C234="","",G234*H234)</f>
        <v/>
      </c>
      <c r="J234" s="11" t="str">
        <f aca="false">IF(AND($C234&lt;&gt;"",E234&gt;0),F234/E234,"")</f>
        <v/>
      </c>
      <c r="K234" s="11" t="str">
        <f aca="false">IF(AND($C234&lt;&gt;"",F234&gt;0),G234/F234,"")</f>
        <v/>
      </c>
      <c r="L234" s="12" t="str">
        <f aca="false">IF(AND($C234&lt;&gt;"",F234&gt;0),I234/F234,"")</f>
        <v/>
      </c>
      <c r="M234" s="27" t="str">
        <f aca="false">IF($C234="","",IF(OR(F234=0,F234&lt;Settings!$B$5),"Need more data",IF(AND(K234&gt;=Settings!$B$6,L234&gt;=Settings!$B$7),"Keep",IF(AND(K234&lt;Settings!$B$6,L234&lt;Settings!$B$7),"Drop","Watch"))))</f>
        <v/>
      </c>
      <c r="N234" s="27" t="str">
        <f aca="false">IF($C234="","",IF(OR(F234&gt;E234,G234&gt;F234,E234&lt;0,F234&lt;0,G234&lt;0,H234&lt;0),"Check numbers","OK"))</f>
        <v/>
      </c>
    </row>
    <row r="235" customFormat="false" ht="15" hidden="false" customHeight="false" outlineLevel="0" collapsed="false">
      <c r="A235" s="25"/>
      <c r="B235" s="21"/>
      <c r="C235" s="21"/>
      <c r="D235" s="21"/>
      <c r="E235" s="26"/>
      <c r="F235" s="26"/>
      <c r="G235" s="26"/>
      <c r="H235" s="23"/>
      <c r="I235" s="10" t="str">
        <f aca="false">IF($C235="","",G235*H235)</f>
        <v/>
      </c>
      <c r="J235" s="11" t="str">
        <f aca="false">IF(AND($C235&lt;&gt;"",E235&gt;0),F235/E235,"")</f>
        <v/>
      </c>
      <c r="K235" s="11" t="str">
        <f aca="false">IF(AND($C235&lt;&gt;"",F235&gt;0),G235/F235,"")</f>
        <v/>
      </c>
      <c r="L235" s="12" t="str">
        <f aca="false">IF(AND($C235&lt;&gt;"",F235&gt;0),I235/F235,"")</f>
        <v/>
      </c>
      <c r="M235" s="27" t="str">
        <f aca="false">IF($C235="","",IF(OR(F235=0,F235&lt;Settings!$B$5),"Need more data",IF(AND(K235&gt;=Settings!$B$6,L235&gt;=Settings!$B$7),"Keep",IF(AND(K235&lt;Settings!$B$6,L235&lt;Settings!$B$7),"Drop","Watch"))))</f>
        <v/>
      </c>
      <c r="N235" s="27" t="str">
        <f aca="false">IF($C235="","",IF(OR(F235&gt;E235,G235&gt;F235,E235&lt;0,F235&lt;0,G235&lt;0,H235&lt;0),"Check numbers","OK"))</f>
        <v/>
      </c>
    </row>
    <row r="236" customFormat="false" ht="15" hidden="false" customHeight="false" outlineLevel="0" collapsed="false">
      <c r="A236" s="25"/>
      <c r="B236" s="21"/>
      <c r="C236" s="21"/>
      <c r="D236" s="21"/>
      <c r="E236" s="26"/>
      <c r="F236" s="26"/>
      <c r="G236" s="26"/>
      <c r="H236" s="23"/>
      <c r="I236" s="10" t="str">
        <f aca="false">IF($C236="","",G236*H236)</f>
        <v/>
      </c>
      <c r="J236" s="11" t="str">
        <f aca="false">IF(AND($C236&lt;&gt;"",E236&gt;0),F236/E236,"")</f>
        <v/>
      </c>
      <c r="K236" s="11" t="str">
        <f aca="false">IF(AND($C236&lt;&gt;"",F236&gt;0),G236/F236,"")</f>
        <v/>
      </c>
      <c r="L236" s="12" t="str">
        <f aca="false">IF(AND($C236&lt;&gt;"",F236&gt;0),I236/F236,"")</f>
        <v/>
      </c>
      <c r="M236" s="27" t="str">
        <f aca="false">IF($C236="","",IF(OR(F236=0,F236&lt;Settings!$B$5),"Need more data",IF(AND(K236&gt;=Settings!$B$6,L236&gt;=Settings!$B$7),"Keep",IF(AND(K236&lt;Settings!$B$6,L236&lt;Settings!$B$7),"Drop","Watch"))))</f>
        <v/>
      </c>
      <c r="N236" s="27" t="str">
        <f aca="false">IF($C236="","",IF(OR(F236&gt;E236,G236&gt;F236,E236&lt;0,F236&lt;0,G236&lt;0,H236&lt;0),"Check numbers","OK"))</f>
        <v/>
      </c>
    </row>
    <row r="237" customFormat="false" ht="15" hidden="false" customHeight="false" outlineLevel="0" collapsed="false">
      <c r="A237" s="25"/>
      <c r="B237" s="21"/>
      <c r="C237" s="21"/>
      <c r="D237" s="21"/>
      <c r="E237" s="26"/>
      <c r="F237" s="26"/>
      <c r="G237" s="26"/>
      <c r="H237" s="23"/>
      <c r="I237" s="10" t="str">
        <f aca="false">IF($C237="","",G237*H237)</f>
        <v/>
      </c>
      <c r="J237" s="11" t="str">
        <f aca="false">IF(AND($C237&lt;&gt;"",E237&gt;0),F237/E237,"")</f>
        <v/>
      </c>
      <c r="K237" s="11" t="str">
        <f aca="false">IF(AND($C237&lt;&gt;"",F237&gt;0),G237/F237,"")</f>
        <v/>
      </c>
      <c r="L237" s="12" t="str">
        <f aca="false">IF(AND($C237&lt;&gt;"",F237&gt;0),I237/F237,"")</f>
        <v/>
      </c>
      <c r="M237" s="27" t="str">
        <f aca="false">IF($C237="","",IF(OR(F237=0,F237&lt;Settings!$B$5),"Need more data",IF(AND(K237&gt;=Settings!$B$6,L237&gt;=Settings!$B$7),"Keep",IF(AND(K237&lt;Settings!$B$6,L237&lt;Settings!$B$7),"Drop","Watch"))))</f>
        <v/>
      </c>
      <c r="N237" s="27" t="str">
        <f aca="false">IF($C237="","",IF(OR(F237&gt;E237,G237&gt;F237,E237&lt;0,F237&lt;0,G237&lt;0,H237&lt;0),"Check numbers","OK"))</f>
        <v/>
      </c>
    </row>
    <row r="238" customFormat="false" ht="15" hidden="false" customHeight="false" outlineLevel="0" collapsed="false">
      <c r="A238" s="25"/>
      <c r="B238" s="21"/>
      <c r="C238" s="21"/>
      <c r="D238" s="21"/>
      <c r="E238" s="26"/>
      <c r="F238" s="26"/>
      <c r="G238" s="26"/>
      <c r="H238" s="23"/>
      <c r="I238" s="10" t="str">
        <f aca="false">IF($C238="","",G238*H238)</f>
        <v/>
      </c>
      <c r="J238" s="11" t="str">
        <f aca="false">IF(AND($C238&lt;&gt;"",E238&gt;0),F238/E238,"")</f>
        <v/>
      </c>
      <c r="K238" s="11" t="str">
        <f aca="false">IF(AND($C238&lt;&gt;"",F238&gt;0),G238/F238,"")</f>
        <v/>
      </c>
      <c r="L238" s="12" t="str">
        <f aca="false">IF(AND($C238&lt;&gt;"",F238&gt;0),I238/F238,"")</f>
        <v/>
      </c>
      <c r="M238" s="27" t="str">
        <f aca="false">IF($C238="","",IF(OR(F238=0,F238&lt;Settings!$B$5),"Need more data",IF(AND(K238&gt;=Settings!$B$6,L238&gt;=Settings!$B$7),"Keep",IF(AND(K238&lt;Settings!$B$6,L238&lt;Settings!$B$7),"Drop","Watch"))))</f>
        <v/>
      </c>
      <c r="N238" s="27" t="str">
        <f aca="false">IF($C238="","",IF(OR(F238&gt;E238,G238&gt;F238,E238&lt;0,F238&lt;0,G238&lt;0,H238&lt;0),"Check numbers","OK"))</f>
        <v/>
      </c>
    </row>
    <row r="239" customFormat="false" ht="15" hidden="false" customHeight="false" outlineLevel="0" collapsed="false">
      <c r="A239" s="25"/>
      <c r="B239" s="21"/>
      <c r="C239" s="21"/>
      <c r="D239" s="21"/>
      <c r="E239" s="26"/>
      <c r="F239" s="26"/>
      <c r="G239" s="26"/>
      <c r="H239" s="23"/>
      <c r="I239" s="10" t="str">
        <f aca="false">IF($C239="","",G239*H239)</f>
        <v/>
      </c>
      <c r="J239" s="11" t="str">
        <f aca="false">IF(AND($C239&lt;&gt;"",E239&gt;0),F239/E239,"")</f>
        <v/>
      </c>
      <c r="K239" s="11" t="str">
        <f aca="false">IF(AND($C239&lt;&gt;"",F239&gt;0),G239/F239,"")</f>
        <v/>
      </c>
      <c r="L239" s="12" t="str">
        <f aca="false">IF(AND($C239&lt;&gt;"",F239&gt;0),I239/F239,"")</f>
        <v/>
      </c>
      <c r="M239" s="27" t="str">
        <f aca="false">IF($C239="","",IF(OR(F239=0,F239&lt;Settings!$B$5),"Need more data",IF(AND(K239&gt;=Settings!$B$6,L239&gt;=Settings!$B$7),"Keep",IF(AND(K239&lt;Settings!$B$6,L239&lt;Settings!$B$7),"Drop","Watch"))))</f>
        <v/>
      </c>
      <c r="N239" s="27" t="str">
        <f aca="false">IF($C239="","",IF(OR(F239&gt;E239,G239&gt;F239,E239&lt;0,F239&lt;0,G239&lt;0,H239&lt;0),"Check numbers","OK"))</f>
        <v/>
      </c>
    </row>
    <row r="240" customFormat="false" ht="15" hidden="false" customHeight="false" outlineLevel="0" collapsed="false">
      <c r="A240" s="25"/>
      <c r="B240" s="21"/>
      <c r="C240" s="21"/>
      <c r="D240" s="21"/>
      <c r="E240" s="26"/>
      <c r="F240" s="26"/>
      <c r="G240" s="26"/>
      <c r="H240" s="23"/>
      <c r="I240" s="10" t="str">
        <f aca="false">IF($C240="","",G240*H240)</f>
        <v/>
      </c>
      <c r="J240" s="11" t="str">
        <f aca="false">IF(AND($C240&lt;&gt;"",E240&gt;0),F240/E240,"")</f>
        <v/>
      </c>
      <c r="K240" s="11" t="str">
        <f aca="false">IF(AND($C240&lt;&gt;"",F240&gt;0),G240/F240,"")</f>
        <v/>
      </c>
      <c r="L240" s="12" t="str">
        <f aca="false">IF(AND($C240&lt;&gt;"",F240&gt;0),I240/F240,"")</f>
        <v/>
      </c>
      <c r="M240" s="27" t="str">
        <f aca="false">IF($C240="","",IF(OR(F240=0,F240&lt;Settings!$B$5),"Need more data",IF(AND(K240&gt;=Settings!$B$6,L240&gt;=Settings!$B$7),"Keep",IF(AND(K240&lt;Settings!$B$6,L240&lt;Settings!$B$7),"Drop","Watch"))))</f>
        <v/>
      </c>
      <c r="N240" s="27" t="str">
        <f aca="false">IF($C240="","",IF(OR(F240&gt;E240,G240&gt;F240,E240&lt;0,F240&lt;0,G240&lt;0,H240&lt;0),"Check numbers","OK"))</f>
        <v/>
      </c>
    </row>
    <row r="241" customFormat="false" ht="15" hidden="false" customHeight="false" outlineLevel="0" collapsed="false">
      <c r="A241" s="25"/>
      <c r="B241" s="21"/>
      <c r="C241" s="21"/>
      <c r="D241" s="21"/>
      <c r="E241" s="26"/>
      <c r="F241" s="26"/>
      <c r="G241" s="26"/>
      <c r="H241" s="23"/>
      <c r="I241" s="10" t="str">
        <f aca="false">IF($C241="","",G241*H241)</f>
        <v/>
      </c>
      <c r="J241" s="11" t="str">
        <f aca="false">IF(AND($C241&lt;&gt;"",E241&gt;0),F241/E241,"")</f>
        <v/>
      </c>
      <c r="K241" s="11" t="str">
        <f aca="false">IF(AND($C241&lt;&gt;"",F241&gt;0),G241/F241,"")</f>
        <v/>
      </c>
      <c r="L241" s="12" t="str">
        <f aca="false">IF(AND($C241&lt;&gt;"",F241&gt;0),I241/F241,"")</f>
        <v/>
      </c>
      <c r="M241" s="27" t="str">
        <f aca="false">IF($C241="","",IF(OR(F241=0,F241&lt;Settings!$B$5),"Need more data",IF(AND(K241&gt;=Settings!$B$6,L241&gt;=Settings!$B$7),"Keep",IF(AND(K241&lt;Settings!$B$6,L241&lt;Settings!$B$7),"Drop","Watch"))))</f>
        <v/>
      </c>
      <c r="N241" s="27" t="str">
        <f aca="false">IF($C241="","",IF(OR(F241&gt;E241,G241&gt;F241,E241&lt;0,F241&lt;0,G241&lt;0,H241&lt;0),"Check numbers","OK"))</f>
        <v/>
      </c>
    </row>
    <row r="242" customFormat="false" ht="15" hidden="false" customHeight="false" outlineLevel="0" collapsed="false">
      <c r="A242" s="25"/>
      <c r="B242" s="21"/>
      <c r="C242" s="21"/>
      <c r="D242" s="21"/>
      <c r="E242" s="26"/>
      <c r="F242" s="26"/>
      <c r="G242" s="26"/>
      <c r="H242" s="23"/>
      <c r="I242" s="10" t="str">
        <f aca="false">IF($C242="","",G242*H242)</f>
        <v/>
      </c>
      <c r="J242" s="11" t="str">
        <f aca="false">IF(AND($C242&lt;&gt;"",E242&gt;0),F242/E242,"")</f>
        <v/>
      </c>
      <c r="K242" s="11" t="str">
        <f aca="false">IF(AND($C242&lt;&gt;"",F242&gt;0),G242/F242,"")</f>
        <v/>
      </c>
      <c r="L242" s="12" t="str">
        <f aca="false">IF(AND($C242&lt;&gt;"",F242&gt;0),I242/F242,"")</f>
        <v/>
      </c>
      <c r="M242" s="27" t="str">
        <f aca="false">IF($C242="","",IF(OR(F242=0,F242&lt;Settings!$B$5),"Need more data",IF(AND(K242&gt;=Settings!$B$6,L242&gt;=Settings!$B$7),"Keep",IF(AND(K242&lt;Settings!$B$6,L242&lt;Settings!$B$7),"Drop","Watch"))))</f>
        <v/>
      </c>
      <c r="N242" s="27" t="str">
        <f aca="false">IF($C242="","",IF(OR(F242&gt;E242,G242&gt;F242,E242&lt;0,F242&lt;0,G242&lt;0,H242&lt;0),"Check numbers","OK"))</f>
        <v/>
      </c>
    </row>
    <row r="243" customFormat="false" ht="15" hidden="false" customHeight="false" outlineLevel="0" collapsed="false">
      <c r="A243" s="25"/>
      <c r="B243" s="21"/>
      <c r="C243" s="21"/>
      <c r="D243" s="21"/>
      <c r="E243" s="26"/>
      <c r="F243" s="26"/>
      <c r="G243" s="26"/>
      <c r="H243" s="23"/>
      <c r="I243" s="10" t="str">
        <f aca="false">IF($C243="","",G243*H243)</f>
        <v/>
      </c>
      <c r="J243" s="11" t="str">
        <f aca="false">IF(AND($C243&lt;&gt;"",E243&gt;0),F243/E243,"")</f>
        <v/>
      </c>
      <c r="K243" s="11" t="str">
        <f aca="false">IF(AND($C243&lt;&gt;"",F243&gt;0),G243/F243,"")</f>
        <v/>
      </c>
      <c r="L243" s="12" t="str">
        <f aca="false">IF(AND($C243&lt;&gt;"",F243&gt;0),I243/F243,"")</f>
        <v/>
      </c>
      <c r="M243" s="27" t="str">
        <f aca="false">IF($C243="","",IF(OR(F243=0,F243&lt;Settings!$B$5),"Need more data",IF(AND(K243&gt;=Settings!$B$6,L243&gt;=Settings!$B$7),"Keep",IF(AND(K243&lt;Settings!$B$6,L243&lt;Settings!$B$7),"Drop","Watch"))))</f>
        <v/>
      </c>
      <c r="N243" s="27" t="str">
        <f aca="false">IF($C243="","",IF(OR(F243&gt;E243,G243&gt;F243,E243&lt;0,F243&lt;0,G243&lt;0,H243&lt;0),"Check numbers","OK"))</f>
        <v/>
      </c>
    </row>
    <row r="244" customFormat="false" ht="15" hidden="false" customHeight="false" outlineLevel="0" collapsed="false">
      <c r="A244" s="25"/>
      <c r="B244" s="21"/>
      <c r="C244" s="21"/>
      <c r="D244" s="21"/>
      <c r="E244" s="26"/>
      <c r="F244" s="26"/>
      <c r="G244" s="26"/>
      <c r="H244" s="23"/>
      <c r="I244" s="10" t="str">
        <f aca="false">IF($C244="","",G244*H244)</f>
        <v/>
      </c>
      <c r="J244" s="11" t="str">
        <f aca="false">IF(AND($C244&lt;&gt;"",E244&gt;0),F244/E244,"")</f>
        <v/>
      </c>
      <c r="K244" s="11" t="str">
        <f aca="false">IF(AND($C244&lt;&gt;"",F244&gt;0),G244/F244,"")</f>
        <v/>
      </c>
      <c r="L244" s="12" t="str">
        <f aca="false">IF(AND($C244&lt;&gt;"",F244&gt;0),I244/F244,"")</f>
        <v/>
      </c>
      <c r="M244" s="27" t="str">
        <f aca="false">IF($C244="","",IF(OR(F244=0,F244&lt;Settings!$B$5),"Need more data",IF(AND(K244&gt;=Settings!$B$6,L244&gt;=Settings!$B$7),"Keep",IF(AND(K244&lt;Settings!$B$6,L244&lt;Settings!$B$7),"Drop","Watch"))))</f>
        <v/>
      </c>
      <c r="N244" s="27" t="str">
        <f aca="false">IF($C244="","",IF(OR(F244&gt;E244,G244&gt;F244,E244&lt;0,F244&lt;0,G244&lt;0,H244&lt;0),"Check numbers","OK"))</f>
        <v/>
      </c>
    </row>
    <row r="245" customFormat="false" ht="15" hidden="false" customHeight="false" outlineLevel="0" collapsed="false">
      <c r="A245" s="25"/>
      <c r="B245" s="21"/>
      <c r="C245" s="21"/>
      <c r="D245" s="21"/>
      <c r="E245" s="26"/>
      <c r="F245" s="26"/>
      <c r="G245" s="26"/>
      <c r="H245" s="23"/>
      <c r="I245" s="10" t="str">
        <f aca="false">IF($C245="","",G245*H245)</f>
        <v/>
      </c>
      <c r="J245" s="11" t="str">
        <f aca="false">IF(AND($C245&lt;&gt;"",E245&gt;0),F245/E245,"")</f>
        <v/>
      </c>
      <c r="K245" s="11" t="str">
        <f aca="false">IF(AND($C245&lt;&gt;"",F245&gt;0),G245/F245,"")</f>
        <v/>
      </c>
      <c r="L245" s="12" t="str">
        <f aca="false">IF(AND($C245&lt;&gt;"",F245&gt;0),I245/F245,"")</f>
        <v/>
      </c>
      <c r="M245" s="27" t="str">
        <f aca="false">IF($C245="","",IF(OR(F245=0,F245&lt;Settings!$B$5),"Need more data",IF(AND(K245&gt;=Settings!$B$6,L245&gt;=Settings!$B$7),"Keep",IF(AND(K245&lt;Settings!$B$6,L245&lt;Settings!$B$7),"Drop","Watch"))))</f>
        <v/>
      </c>
      <c r="N245" s="27" t="str">
        <f aca="false">IF($C245="","",IF(OR(F245&gt;E245,G245&gt;F245,E245&lt;0,F245&lt;0,G245&lt;0,H245&lt;0),"Check numbers","OK"))</f>
        <v/>
      </c>
    </row>
    <row r="246" customFormat="false" ht="15" hidden="false" customHeight="false" outlineLevel="0" collapsed="false">
      <c r="A246" s="25"/>
      <c r="B246" s="21"/>
      <c r="C246" s="21"/>
      <c r="D246" s="21"/>
      <c r="E246" s="26"/>
      <c r="F246" s="26"/>
      <c r="G246" s="26"/>
      <c r="H246" s="23"/>
      <c r="I246" s="10" t="str">
        <f aca="false">IF($C246="","",G246*H246)</f>
        <v/>
      </c>
      <c r="J246" s="11" t="str">
        <f aca="false">IF(AND($C246&lt;&gt;"",E246&gt;0),F246/E246,"")</f>
        <v/>
      </c>
      <c r="K246" s="11" t="str">
        <f aca="false">IF(AND($C246&lt;&gt;"",F246&gt;0),G246/F246,"")</f>
        <v/>
      </c>
      <c r="L246" s="12" t="str">
        <f aca="false">IF(AND($C246&lt;&gt;"",F246&gt;0),I246/F246,"")</f>
        <v/>
      </c>
      <c r="M246" s="27" t="str">
        <f aca="false">IF($C246="","",IF(OR(F246=0,F246&lt;Settings!$B$5),"Need more data",IF(AND(K246&gt;=Settings!$B$6,L246&gt;=Settings!$B$7),"Keep",IF(AND(K246&lt;Settings!$B$6,L246&lt;Settings!$B$7),"Drop","Watch"))))</f>
        <v/>
      </c>
      <c r="N246" s="27" t="str">
        <f aca="false">IF($C246="","",IF(OR(F246&gt;E246,G246&gt;F246,E246&lt;0,F246&lt;0,G246&lt;0,H246&lt;0),"Check numbers","OK"))</f>
        <v/>
      </c>
    </row>
    <row r="247" customFormat="false" ht="15" hidden="false" customHeight="false" outlineLevel="0" collapsed="false">
      <c r="A247" s="25"/>
      <c r="B247" s="21"/>
      <c r="C247" s="21"/>
      <c r="D247" s="21"/>
      <c r="E247" s="26"/>
      <c r="F247" s="26"/>
      <c r="G247" s="26"/>
      <c r="H247" s="23"/>
      <c r="I247" s="10" t="str">
        <f aca="false">IF($C247="","",G247*H247)</f>
        <v/>
      </c>
      <c r="J247" s="11" t="str">
        <f aca="false">IF(AND($C247&lt;&gt;"",E247&gt;0),F247/E247,"")</f>
        <v/>
      </c>
      <c r="K247" s="11" t="str">
        <f aca="false">IF(AND($C247&lt;&gt;"",F247&gt;0),G247/F247,"")</f>
        <v/>
      </c>
      <c r="L247" s="12" t="str">
        <f aca="false">IF(AND($C247&lt;&gt;"",F247&gt;0),I247/F247,"")</f>
        <v/>
      </c>
      <c r="M247" s="27" t="str">
        <f aca="false">IF($C247="","",IF(OR(F247=0,F247&lt;Settings!$B$5),"Need more data",IF(AND(K247&gt;=Settings!$B$6,L247&gt;=Settings!$B$7),"Keep",IF(AND(K247&lt;Settings!$B$6,L247&lt;Settings!$B$7),"Drop","Watch"))))</f>
        <v/>
      </c>
      <c r="N247" s="27" t="str">
        <f aca="false">IF($C247="","",IF(OR(F247&gt;E247,G247&gt;F247,E247&lt;0,F247&lt;0,G247&lt;0,H247&lt;0),"Check numbers","OK"))</f>
        <v/>
      </c>
    </row>
    <row r="248" customFormat="false" ht="15" hidden="false" customHeight="false" outlineLevel="0" collapsed="false">
      <c r="A248" s="25"/>
      <c r="B248" s="21"/>
      <c r="C248" s="21"/>
      <c r="D248" s="21"/>
      <c r="E248" s="26"/>
      <c r="F248" s="26"/>
      <c r="G248" s="26"/>
      <c r="H248" s="23"/>
      <c r="I248" s="10" t="str">
        <f aca="false">IF($C248="","",G248*H248)</f>
        <v/>
      </c>
      <c r="J248" s="11" t="str">
        <f aca="false">IF(AND($C248&lt;&gt;"",E248&gt;0),F248/E248,"")</f>
        <v/>
      </c>
      <c r="K248" s="11" t="str">
        <f aca="false">IF(AND($C248&lt;&gt;"",F248&gt;0),G248/F248,"")</f>
        <v/>
      </c>
      <c r="L248" s="12" t="str">
        <f aca="false">IF(AND($C248&lt;&gt;"",F248&gt;0),I248/F248,"")</f>
        <v/>
      </c>
      <c r="M248" s="27" t="str">
        <f aca="false">IF($C248="","",IF(OR(F248=0,F248&lt;Settings!$B$5),"Need more data",IF(AND(K248&gt;=Settings!$B$6,L248&gt;=Settings!$B$7),"Keep",IF(AND(K248&lt;Settings!$B$6,L248&lt;Settings!$B$7),"Drop","Watch"))))</f>
        <v/>
      </c>
      <c r="N248" s="27" t="str">
        <f aca="false">IF($C248="","",IF(OR(F248&gt;E248,G248&gt;F248,E248&lt;0,F248&lt;0,G248&lt;0,H248&lt;0),"Check numbers","OK"))</f>
        <v/>
      </c>
    </row>
    <row r="249" customFormat="false" ht="15" hidden="false" customHeight="false" outlineLevel="0" collapsed="false">
      <c r="A249" s="25"/>
      <c r="B249" s="21"/>
      <c r="C249" s="21"/>
      <c r="D249" s="21"/>
      <c r="E249" s="26"/>
      <c r="F249" s="26"/>
      <c r="G249" s="26"/>
      <c r="H249" s="23"/>
      <c r="I249" s="10" t="str">
        <f aca="false">IF($C249="","",G249*H249)</f>
        <v/>
      </c>
      <c r="J249" s="11" t="str">
        <f aca="false">IF(AND($C249&lt;&gt;"",E249&gt;0),F249/E249,"")</f>
        <v/>
      </c>
      <c r="K249" s="11" t="str">
        <f aca="false">IF(AND($C249&lt;&gt;"",F249&gt;0),G249/F249,"")</f>
        <v/>
      </c>
      <c r="L249" s="12" t="str">
        <f aca="false">IF(AND($C249&lt;&gt;"",F249&gt;0),I249/F249,"")</f>
        <v/>
      </c>
      <c r="M249" s="27" t="str">
        <f aca="false">IF($C249="","",IF(OR(F249=0,F249&lt;Settings!$B$5),"Need more data",IF(AND(K249&gt;=Settings!$B$6,L249&gt;=Settings!$B$7),"Keep",IF(AND(K249&lt;Settings!$B$6,L249&lt;Settings!$B$7),"Drop","Watch"))))</f>
        <v/>
      </c>
      <c r="N249" s="27" t="str">
        <f aca="false">IF($C249="","",IF(OR(F249&gt;E249,G249&gt;F249,E249&lt;0,F249&lt;0,G249&lt;0,H249&lt;0),"Check numbers","OK"))</f>
        <v/>
      </c>
    </row>
    <row r="250" customFormat="false" ht="15" hidden="false" customHeight="false" outlineLevel="0" collapsed="false">
      <c r="A250" s="25"/>
      <c r="B250" s="21"/>
      <c r="C250" s="21"/>
      <c r="D250" s="21"/>
      <c r="E250" s="26"/>
      <c r="F250" s="26"/>
      <c r="G250" s="26"/>
      <c r="H250" s="23"/>
      <c r="I250" s="10" t="str">
        <f aca="false">IF($C250="","",G250*H250)</f>
        <v/>
      </c>
      <c r="J250" s="11" t="str">
        <f aca="false">IF(AND($C250&lt;&gt;"",E250&gt;0),F250/E250,"")</f>
        <v/>
      </c>
      <c r="K250" s="11" t="str">
        <f aca="false">IF(AND($C250&lt;&gt;"",F250&gt;0),G250/F250,"")</f>
        <v/>
      </c>
      <c r="L250" s="12" t="str">
        <f aca="false">IF(AND($C250&lt;&gt;"",F250&gt;0),I250/F250,"")</f>
        <v/>
      </c>
      <c r="M250" s="27" t="str">
        <f aca="false">IF($C250="","",IF(OR(F250=0,F250&lt;Settings!$B$5),"Need more data",IF(AND(K250&gt;=Settings!$B$6,L250&gt;=Settings!$B$7),"Keep",IF(AND(K250&lt;Settings!$B$6,L250&lt;Settings!$B$7),"Drop","Watch"))))</f>
        <v/>
      </c>
      <c r="N250" s="27" t="str">
        <f aca="false">IF($C250="","",IF(OR(F250&gt;E250,G250&gt;F250,E250&lt;0,F250&lt;0,G250&lt;0,H250&lt;0),"Check numbers","OK"))</f>
        <v/>
      </c>
    </row>
    <row r="251" customFormat="false" ht="15" hidden="false" customHeight="false" outlineLevel="0" collapsed="false">
      <c r="A251" s="25"/>
      <c r="B251" s="21"/>
      <c r="C251" s="21"/>
      <c r="D251" s="21"/>
      <c r="E251" s="26"/>
      <c r="F251" s="26"/>
      <c r="G251" s="26"/>
      <c r="H251" s="23"/>
      <c r="I251" s="10" t="str">
        <f aca="false">IF($C251="","",G251*H251)</f>
        <v/>
      </c>
      <c r="J251" s="11" t="str">
        <f aca="false">IF(AND($C251&lt;&gt;"",E251&gt;0),F251/E251,"")</f>
        <v/>
      </c>
      <c r="K251" s="11" t="str">
        <f aca="false">IF(AND($C251&lt;&gt;"",F251&gt;0),G251/F251,"")</f>
        <v/>
      </c>
      <c r="L251" s="12" t="str">
        <f aca="false">IF(AND($C251&lt;&gt;"",F251&gt;0),I251/F251,"")</f>
        <v/>
      </c>
      <c r="M251" s="27" t="str">
        <f aca="false">IF($C251="","",IF(OR(F251=0,F251&lt;Settings!$B$5),"Need more data",IF(AND(K251&gt;=Settings!$B$6,L251&gt;=Settings!$B$7),"Keep",IF(AND(K251&lt;Settings!$B$6,L251&lt;Settings!$B$7),"Drop","Watch"))))</f>
        <v/>
      </c>
      <c r="N251" s="27" t="str">
        <f aca="false">IF($C251="","",IF(OR(F251&gt;E251,G251&gt;F251,E251&lt;0,F251&lt;0,G251&lt;0,H251&lt;0),"Check numbers","OK"))</f>
        <v/>
      </c>
    </row>
    <row r="252" customFormat="false" ht="15" hidden="false" customHeight="false" outlineLevel="0" collapsed="false">
      <c r="A252" s="25"/>
      <c r="B252" s="21"/>
      <c r="C252" s="21"/>
      <c r="D252" s="21"/>
      <c r="E252" s="26"/>
      <c r="F252" s="26"/>
      <c r="G252" s="26"/>
      <c r="H252" s="23"/>
      <c r="I252" s="10" t="str">
        <f aca="false">IF($C252="","",G252*H252)</f>
        <v/>
      </c>
      <c r="J252" s="11" t="str">
        <f aca="false">IF(AND($C252&lt;&gt;"",E252&gt;0),F252/E252,"")</f>
        <v/>
      </c>
      <c r="K252" s="11" t="str">
        <f aca="false">IF(AND($C252&lt;&gt;"",F252&gt;0),G252/F252,"")</f>
        <v/>
      </c>
      <c r="L252" s="12" t="str">
        <f aca="false">IF(AND($C252&lt;&gt;"",F252&gt;0),I252/F252,"")</f>
        <v/>
      </c>
      <c r="M252" s="27" t="str">
        <f aca="false">IF($C252="","",IF(OR(F252=0,F252&lt;Settings!$B$5),"Need more data",IF(AND(K252&gt;=Settings!$B$6,L252&gt;=Settings!$B$7),"Keep",IF(AND(K252&lt;Settings!$B$6,L252&lt;Settings!$B$7),"Drop","Watch"))))</f>
        <v/>
      </c>
      <c r="N252" s="27" t="str">
        <f aca="false">IF($C252="","",IF(OR(F252&gt;E252,G252&gt;F252,E252&lt;0,F252&lt;0,G252&lt;0,H252&lt;0),"Check numbers","OK"))</f>
        <v/>
      </c>
    </row>
    <row r="253" customFormat="false" ht="15" hidden="false" customHeight="false" outlineLevel="0" collapsed="false">
      <c r="A253" s="25"/>
      <c r="B253" s="21"/>
      <c r="C253" s="21"/>
      <c r="D253" s="21"/>
      <c r="E253" s="26"/>
      <c r="F253" s="26"/>
      <c r="G253" s="26"/>
      <c r="H253" s="23"/>
      <c r="I253" s="10" t="str">
        <f aca="false">IF($C253="","",G253*H253)</f>
        <v/>
      </c>
      <c r="J253" s="11" t="str">
        <f aca="false">IF(AND($C253&lt;&gt;"",E253&gt;0),F253/E253,"")</f>
        <v/>
      </c>
      <c r="K253" s="11" t="str">
        <f aca="false">IF(AND($C253&lt;&gt;"",F253&gt;0),G253/F253,"")</f>
        <v/>
      </c>
      <c r="L253" s="12" t="str">
        <f aca="false">IF(AND($C253&lt;&gt;"",F253&gt;0),I253/F253,"")</f>
        <v/>
      </c>
      <c r="M253" s="27" t="str">
        <f aca="false">IF($C253="","",IF(OR(F253=0,F253&lt;Settings!$B$5),"Need more data",IF(AND(K253&gt;=Settings!$B$6,L253&gt;=Settings!$B$7),"Keep",IF(AND(K253&lt;Settings!$B$6,L253&lt;Settings!$B$7),"Drop","Watch"))))</f>
        <v/>
      </c>
      <c r="N253" s="27" t="str">
        <f aca="false">IF($C253="","",IF(OR(F253&gt;E253,G253&gt;F253,E253&lt;0,F253&lt;0,G253&lt;0,H253&lt;0),"Check numbers","OK"))</f>
        <v/>
      </c>
    </row>
    <row r="254" customFormat="false" ht="15" hidden="false" customHeight="false" outlineLevel="0" collapsed="false">
      <c r="A254" s="25"/>
      <c r="B254" s="21"/>
      <c r="C254" s="21"/>
      <c r="D254" s="21"/>
      <c r="E254" s="26"/>
      <c r="F254" s="26"/>
      <c r="G254" s="26"/>
      <c r="H254" s="23"/>
      <c r="I254" s="10" t="str">
        <f aca="false">IF($C254="","",G254*H254)</f>
        <v/>
      </c>
      <c r="J254" s="11" t="str">
        <f aca="false">IF(AND($C254&lt;&gt;"",E254&gt;0),F254/E254,"")</f>
        <v/>
      </c>
      <c r="K254" s="11" t="str">
        <f aca="false">IF(AND($C254&lt;&gt;"",F254&gt;0),G254/F254,"")</f>
        <v/>
      </c>
      <c r="L254" s="12" t="str">
        <f aca="false">IF(AND($C254&lt;&gt;"",F254&gt;0),I254/F254,"")</f>
        <v/>
      </c>
      <c r="M254" s="27" t="str">
        <f aca="false">IF($C254="","",IF(OR(F254=0,F254&lt;Settings!$B$5),"Need more data",IF(AND(K254&gt;=Settings!$B$6,L254&gt;=Settings!$B$7),"Keep",IF(AND(K254&lt;Settings!$B$6,L254&lt;Settings!$B$7),"Drop","Watch"))))</f>
        <v/>
      </c>
      <c r="N254" s="27" t="str">
        <f aca="false">IF($C254="","",IF(OR(F254&gt;E254,G254&gt;F254,E254&lt;0,F254&lt;0,G254&lt;0,H254&lt;0),"Check numbers","OK"))</f>
        <v/>
      </c>
    </row>
    <row r="255" customFormat="false" ht="15" hidden="false" customHeight="false" outlineLevel="0" collapsed="false">
      <c r="A255" s="25"/>
      <c r="B255" s="21"/>
      <c r="C255" s="21"/>
      <c r="D255" s="21"/>
      <c r="E255" s="26"/>
      <c r="F255" s="26"/>
      <c r="G255" s="26"/>
      <c r="H255" s="23"/>
      <c r="I255" s="10" t="str">
        <f aca="false">IF($C255="","",G255*H255)</f>
        <v/>
      </c>
      <c r="J255" s="11" t="str">
        <f aca="false">IF(AND($C255&lt;&gt;"",E255&gt;0),F255/E255,"")</f>
        <v/>
      </c>
      <c r="K255" s="11" t="str">
        <f aca="false">IF(AND($C255&lt;&gt;"",F255&gt;0),G255/F255,"")</f>
        <v/>
      </c>
      <c r="L255" s="12" t="str">
        <f aca="false">IF(AND($C255&lt;&gt;"",F255&gt;0),I255/F255,"")</f>
        <v/>
      </c>
      <c r="M255" s="27" t="str">
        <f aca="false">IF($C255="","",IF(OR(F255=0,F255&lt;Settings!$B$5),"Need more data",IF(AND(K255&gt;=Settings!$B$6,L255&gt;=Settings!$B$7),"Keep",IF(AND(K255&lt;Settings!$B$6,L255&lt;Settings!$B$7),"Drop","Watch"))))</f>
        <v/>
      </c>
      <c r="N255" s="27" t="str">
        <f aca="false">IF($C255="","",IF(OR(F255&gt;E255,G255&gt;F255,E255&lt;0,F255&lt;0,G255&lt;0,H255&lt;0),"Check numbers","OK"))</f>
        <v/>
      </c>
    </row>
    <row r="256" customFormat="false" ht="15" hidden="false" customHeight="false" outlineLevel="0" collapsed="false">
      <c r="A256" s="25"/>
      <c r="B256" s="21"/>
      <c r="C256" s="21"/>
      <c r="D256" s="21"/>
      <c r="E256" s="26"/>
      <c r="F256" s="26"/>
      <c r="G256" s="26"/>
      <c r="H256" s="23"/>
      <c r="I256" s="10" t="str">
        <f aca="false">IF($C256="","",G256*H256)</f>
        <v/>
      </c>
      <c r="J256" s="11" t="str">
        <f aca="false">IF(AND($C256&lt;&gt;"",E256&gt;0),F256/E256,"")</f>
        <v/>
      </c>
      <c r="K256" s="11" t="str">
        <f aca="false">IF(AND($C256&lt;&gt;"",F256&gt;0),G256/F256,"")</f>
        <v/>
      </c>
      <c r="L256" s="12" t="str">
        <f aca="false">IF(AND($C256&lt;&gt;"",F256&gt;0),I256/F256,"")</f>
        <v/>
      </c>
      <c r="M256" s="27" t="str">
        <f aca="false">IF($C256="","",IF(OR(F256=0,F256&lt;Settings!$B$5),"Need more data",IF(AND(K256&gt;=Settings!$B$6,L256&gt;=Settings!$B$7),"Keep",IF(AND(K256&lt;Settings!$B$6,L256&lt;Settings!$B$7),"Drop","Watch"))))</f>
        <v/>
      </c>
      <c r="N256" s="27" t="str">
        <f aca="false">IF($C256="","",IF(OR(F256&gt;E256,G256&gt;F256,E256&lt;0,F256&lt;0,G256&lt;0,H256&lt;0),"Check numbers","OK"))</f>
        <v/>
      </c>
    </row>
    <row r="257" customFormat="false" ht="15" hidden="false" customHeight="false" outlineLevel="0" collapsed="false">
      <c r="A257" s="25"/>
      <c r="B257" s="21"/>
      <c r="C257" s="21"/>
      <c r="D257" s="21"/>
      <c r="E257" s="26"/>
      <c r="F257" s="26"/>
      <c r="G257" s="26"/>
      <c r="H257" s="23"/>
      <c r="I257" s="10" t="str">
        <f aca="false">IF($C257="","",G257*H257)</f>
        <v/>
      </c>
      <c r="J257" s="11" t="str">
        <f aca="false">IF(AND($C257&lt;&gt;"",E257&gt;0),F257/E257,"")</f>
        <v/>
      </c>
      <c r="K257" s="11" t="str">
        <f aca="false">IF(AND($C257&lt;&gt;"",F257&gt;0),G257/F257,"")</f>
        <v/>
      </c>
      <c r="L257" s="12" t="str">
        <f aca="false">IF(AND($C257&lt;&gt;"",F257&gt;0),I257/F257,"")</f>
        <v/>
      </c>
      <c r="M257" s="27" t="str">
        <f aca="false">IF($C257="","",IF(OR(F257=0,F257&lt;Settings!$B$5),"Need more data",IF(AND(K257&gt;=Settings!$B$6,L257&gt;=Settings!$B$7),"Keep",IF(AND(K257&lt;Settings!$B$6,L257&lt;Settings!$B$7),"Drop","Watch"))))</f>
        <v/>
      </c>
      <c r="N257" s="27" t="str">
        <f aca="false">IF($C257="","",IF(OR(F257&gt;E257,G257&gt;F257,E257&lt;0,F257&lt;0,G257&lt;0,H257&lt;0),"Check numbers","OK"))</f>
        <v/>
      </c>
    </row>
    <row r="258" customFormat="false" ht="15" hidden="false" customHeight="false" outlineLevel="0" collapsed="false">
      <c r="A258" s="25"/>
      <c r="B258" s="21"/>
      <c r="C258" s="21"/>
      <c r="D258" s="21"/>
      <c r="E258" s="26"/>
      <c r="F258" s="26"/>
      <c r="G258" s="26"/>
      <c r="H258" s="23"/>
      <c r="I258" s="10" t="str">
        <f aca="false">IF($C258="","",G258*H258)</f>
        <v/>
      </c>
      <c r="J258" s="11" t="str">
        <f aca="false">IF(AND($C258&lt;&gt;"",E258&gt;0),F258/E258,"")</f>
        <v/>
      </c>
      <c r="K258" s="11" t="str">
        <f aca="false">IF(AND($C258&lt;&gt;"",F258&gt;0),G258/F258,"")</f>
        <v/>
      </c>
      <c r="L258" s="12" t="str">
        <f aca="false">IF(AND($C258&lt;&gt;"",F258&gt;0),I258/F258,"")</f>
        <v/>
      </c>
      <c r="M258" s="27" t="str">
        <f aca="false">IF($C258="","",IF(OR(F258=0,F258&lt;Settings!$B$5),"Need more data",IF(AND(K258&gt;=Settings!$B$6,L258&gt;=Settings!$B$7),"Keep",IF(AND(K258&lt;Settings!$B$6,L258&lt;Settings!$B$7),"Drop","Watch"))))</f>
        <v/>
      </c>
      <c r="N258" s="27" t="str">
        <f aca="false">IF($C258="","",IF(OR(F258&gt;E258,G258&gt;F258,E258&lt;0,F258&lt;0,G258&lt;0,H258&lt;0),"Check numbers","OK"))</f>
        <v/>
      </c>
    </row>
    <row r="259" customFormat="false" ht="15" hidden="false" customHeight="false" outlineLevel="0" collapsed="false">
      <c r="A259" s="25"/>
      <c r="B259" s="21"/>
      <c r="C259" s="21"/>
      <c r="D259" s="21"/>
      <c r="E259" s="26"/>
      <c r="F259" s="26"/>
      <c r="G259" s="26"/>
      <c r="H259" s="23"/>
      <c r="I259" s="10" t="str">
        <f aca="false">IF($C259="","",G259*H259)</f>
        <v/>
      </c>
      <c r="J259" s="11" t="str">
        <f aca="false">IF(AND($C259&lt;&gt;"",E259&gt;0),F259/E259,"")</f>
        <v/>
      </c>
      <c r="K259" s="11" t="str">
        <f aca="false">IF(AND($C259&lt;&gt;"",F259&gt;0),G259/F259,"")</f>
        <v/>
      </c>
      <c r="L259" s="12" t="str">
        <f aca="false">IF(AND($C259&lt;&gt;"",F259&gt;0),I259/F259,"")</f>
        <v/>
      </c>
      <c r="M259" s="27" t="str">
        <f aca="false">IF($C259="","",IF(OR(F259=0,F259&lt;Settings!$B$5),"Need more data",IF(AND(K259&gt;=Settings!$B$6,L259&gt;=Settings!$B$7),"Keep",IF(AND(K259&lt;Settings!$B$6,L259&lt;Settings!$B$7),"Drop","Watch"))))</f>
        <v/>
      </c>
      <c r="N259" s="27" t="str">
        <f aca="false">IF($C259="","",IF(OR(F259&gt;E259,G259&gt;F259,E259&lt;0,F259&lt;0,G259&lt;0,H259&lt;0),"Check numbers","OK"))</f>
        <v/>
      </c>
    </row>
    <row r="260" customFormat="false" ht="15" hidden="false" customHeight="false" outlineLevel="0" collapsed="false">
      <c r="A260" s="25"/>
      <c r="B260" s="21"/>
      <c r="C260" s="21"/>
      <c r="D260" s="21"/>
      <c r="E260" s="26"/>
      <c r="F260" s="26"/>
      <c r="G260" s="26"/>
      <c r="H260" s="23"/>
      <c r="I260" s="10" t="str">
        <f aca="false">IF($C260="","",G260*H260)</f>
        <v/>
      </c>
      <c r="J260" s="11" t="str">
        <f aca="false">IF(AND($C260&lt;&gt;"",E260&gt;0),F260/E260,"")</f>
        <v/>
      </c>
      <c r="K260" s="11" t="str">
        <f aca="false">IF(AND($C260&lt;&gt;"",F260&gt;0),G260/F260,"")</f>
        <v/>
      </c>
      <c r="L260" s="12" t="str">
        <f aca="false">IF(AND($C260&lt;&gt;"",F260&gt;0),I260/F260,"")</f>
        <v/>
      </c>
      <c r="M260" s="27" t="str">
        <f aca="false">IF($C260="","",IF(OR(F260=0,F260&lt;Settings!$B$5),"Need more data",IF(AND(K260&gt;=Settings!$B$6,L260&gt;=Settings!$B$7),"Keep",IF(AND(K260&lt;Settings!$B$6,L260&lt;Settings!$B$7),"Drop","Watch"))))</f>
        <v/>
      </c>
      <c r="N260" s="27" t="str">
        <f aca="false">IF($C260="","",IF(OR(F260&gt;E260,G260&gt;F260,E260&lt;0,F260&lt;0,G260&lt;0,H260&lt;0),"Check numbers","OK"))</f>
        <v/>
      </c>
    </row>
    <row r="261" customFormat="false" ht="15" hidden="false" customHeight="false" outlineLevel="0" collapsed="false">
      <c r="A261" s="25"/>
      <c r="B261" s="21"/>
      <c r="C261" s="21"/>
      <c r="D261" s="21"/>
      <c r="E261" s="26"/>
      <c r="F261" s="26"/>
      <c r="G261" s="26"/>
      <c r="H261" s="23"/>
      <c r="I261" s="10" t="str">
        <f aca="false">IF($C261="","",G261*H261)</f>
        <v/>
      </c>
      <c r="J261" s="11" t="str">
        <f aca="false">IF(AND($C261&lt;&gt;"",E261&gt;0),F261/E261,"")</f>
        <v/>
      </c>
      <c r="K261" s="11" t="str">
        <f aca="false">IF(AND($C261&lt;&gt;"",F261&gt;0),G261/F261,"")</f>
        <v/>
      </c>
      <c r="L261" s="12" t="str">
        <f aca="false">IF(AND($C261&lt;&gt;"",F261&gt;0),I261/F261,"")</f>
        <v/>
      </c>
      <c r="M261" s="27" t="str">
        <f aca="false">IF($C261="","",IF(OR(F261=0,F261&lt;Settings!$B$5),"Need more data",IF(AND(K261&gt;=Settings!$B$6,L261&gt;=Settings!$B$7),"Keep",IF(AND(K261&lt;Settings!$B$6,L261&lt;Settings!$B$7),"Drop","Watch"))))</f>
        <v/>
      </c>
      <c r="N261" s="27" t="str">
        <f aca="false">IF($C261="","",IF(OR(F261&gt;E261,G261&gt;F261,E261&lt;0,F261&lt;0,G261&lt;0,H261&lt;0),"Check numbers","OK"))</f>
        <v/>
      </c>
    </row>
    <row r="262" customFormat="false" ht="15" hidden="false" customHeight="false" outlineLevel="0" collapsed="false">
      <c r="A262" s="25"/>
      <c r="B262" s="21"/>
      <c r="C262" s="21"/>
      <c r="D262" s="21"/>
      <c r="E262" s="26"/>
      <c r="F262" s="26"/>
      <c r="G262" s="26"/>
      <c r="H262" s="23"/>
      <c r="I262" s="10" t="str">
        <f aca="false">IF($C262="","",G262*H262)</f>
        <v/>
      </c>
      <c r="J262" s="11" t="str">
        <f aca="false">IF(AND($C262&lt;&gt;"",E262&gt;0),F262/E262,"")</f>
        <v/>
      </c>
      <c r="K262" s="11" t="str">
        <f aca="false">IF(AND($C262&lt;&gt;"",F262&gt;0),G262/F262,"")</f>
        <v/>
      </c>
      <c r="L262" s="12" t="str">
        <f aca="false">IF(AND($C262&lt;&gt;"",F262&gt;0),I262/F262,"")</f>
        <v/>
      </c>
      <c r="M262" s="27" t="str">
        <f aca="false">IF($C262="","",IF(OR(F262=0,F262&lt;Settings!$B$5),"Need more data",IF(AND(K262&gt;=Settings!$B$6,L262&gt;=Settings!$B$7),"Keep",IF(AND(K262&lt;Settings!$B$6,L262&lt;Settings!$B$7),"Drop","Watch"))))</f>
        <v/>
      </c>
      <c r="N262" s="27" t="str">
        <f aca="false">IF($C262="","",IF(OR(F262&gt;E262,G262&gt;F262,E262&lt;0,F262&lt;0,G262&lt;0,H262&lt;0),"Check numbers","OK"))</f>
        <v/>
      </c>
    </row>
    <row r="263" customFormat="false" ht="15" hidden="false" customHeight="false" outlineLevel="0" collapsed="false">
      <c r="A263" s="25"/>
      <c r="B263" s="21"/>
      <c r="C263" s="21"/>
      <c r="D263" s="21"/>
      <c r="E263" s="26"/>
      <c r="F263" s="26"/>
      <c r="G263" s="26"/>
      <c r="H263" s="23"/>
      <c r="I263" s="10" t="str">
        <f aca="false">IF($C263="","",G263*H263)</f>
        <v/>
      </c>
      <c r="J263" s="11" t="str">
        <f aca="false">IF(AND($C263&lt;&gt;"",E263&gt;0),F263/E263,"")</f>
        <v/>
      </c>
      <c r="K263" s="11" t="str">
        <f aca="false">IF(AND($C263&lt;&gt;"",F263&gt;0),G263/F263,"")</f>
        <v/>
      </c>
      <c r="L263" s="12" t="str">
        <f aca="false">IF(AND($C263&lt;&gt;"",F263&gt;0),I263/F263,"")</f>
        <v/>
      </c>
      <c r="M263" s="27" t="str">
        <f aca="false">IF($C263="","",IF(OR(F263=0,F263&lt;Settings!$B$5),"Need more data",IF(AND(K263&gt;=Settings!$B$6,L263&gt;=Settings!$B$7),"Keep",IF(AND(K263&lt;Settings!$B$6,L263&lt;Settings!$B$7),"Drop","Watch"))))</f>
        <v/>
      </c>
      <c r="N263" s="27" t="str">
        <f aca="false">IF($C263="","",IF(OR(F263&gt;E263,G263&gt;F263,E263&lt;0,F263&lt;0,G263&lt;0,H263&lt;0),"Check numbers","OK"))</f>
        <v/>
      </c>
    </row>
    <row r="264" customFormat="false" ht="15" hidden="false" customHeight="false" outlineLevel="0" collapsed="false">
      <c r="A264" s="25"/>
      <c r="B264" s="21"/>
      <c r="C264" s="21"/>
      <c r="D264" s="21"/>
      <c r="E264" s="26"/>
      <c r="F264" s="26"/>
      <c r="G264" s="26"/>
      <c r="H264" s="23"/>
      <c r="I264" s="10" t="str">
        <f aca="false">IF($C264="","",G264*H264)</f>
        <v/>
      </c>
      <c r="J264" s="11" t="str">
        <f aca="false">IF(AND($C264&lt;&gt;"",E264&gt;0),F264/E264,"")</f>
        <v/>
      </c>
      <c r="K264" s="11" t="str">
        <f aca="false">IF(AND($C264&lt;&gt;"",F264&gt;0),G264/F264,"")</f>
        <v/>
      </c>
      <c r="L264" s="12" t="str">
        <f aca="false">IF(AND($C264&lt;&gt;"",F264&gt;0),I264/F264,"")</f>
        <v/>
      </c>
      <c r="M264" s="27" t="str">
        <f aca="false">IF($C264="","",IF(OR(F264=0,F264&lt;Settings!$B$5),"Need more data",IF(AND(K264&gt;=Settings!$B$6,L264&gt;=Settings!$B$7),"Keep",IF(AND(K264&lt;Settings!$B$6,L264&lt;Settings!$B$7),"Drop","Watch"))))</f>
        <v/>
      </c>
      <c r="N264" s="27" t="str">
        <f aca="false">IF($C264="","",IF(OR(F264&gt;E264,G264&gt;F264,E264&lt;0,F264&lt;0,G264&lt;0,H264&lt;0),"Check numbers","OK"))</f>
        <v/>
      </c>
    </row>
    <row r="265" customFormat="false" ht="15" hidden="false" customHeight="false" outlineLevel="0" collapsed="false">
      <c r="A265" s="25"/>
      <c r="B265" s="21"/>
      <c r="C265" s="21"/>
      <c r="D265" s="21"/>
      <c r="E265" s="26"/>
      <c r="F265" s="26"/>
      <c r="G265" s="26"/>
      <c r="H265" s="23"/>
      <c r="I265" s="10" t="str">
        <f aca="false">IF($C265="","",G265*H265)</f>
        <v/>
      </c>
      <c r="J265" s="11" t="str">
        <f aca="false">IF(AND($C265&lt;&gt;"",E265&gt;0),F265/E265,"")</f>
        <v/>
      </c>
      <c r="K265" s="11" t="str">
        <f aca="false">IF(AND($C265&lt;&gt;"",F265&gt;0),G265/F265,"")</f>
        <v/>
      </c>
      <c r="L265" s="12" t="str">
        <f aca="false">IF(AND($C265&lt;&gt;"",F265&gt;0),I265/F265,"")</f>
        <v/>
      </c>
      <c r="M265" s="27" t="str">
        <f aca="false">IF($C265="","",IF(OR(F265=0,F265&lt;Settings!$B$5),"Need more data",IF(AND(K265&gt;=Settings!$B$6,L265&gt;=Settings!$B$7),"Keep",IF(AND(K265&lt;Settings!$B$6,L265&lt;Settings!$B$7),"Drop","Watch"))))</f>
        <v/>
      </c>
      <c r="N265" s="27" t="str">
        <f aca="false">IF($C265="","",IF(OR(F265&gt;E265,G265&gt;F265,E265&lt;0,F265&lt;0,G265&lt;0,H265&lt;0),"Check numbers","OK"))</f>
        <v/>
      </c>
    </row>
    <row r="266" customFormat="false" ht="15" hidden="false" customHeight="false" outlineLevel="0" collapsed="false">
      <c r="A266" s="25"/>
      <c r="B266" s="21"/>
      <c r="C266" s="21"/>
      <c r="D266" s="21"/>
      <c r="E266" s="26"/>
      <c r="F266" s="26"/>
      <c r="G266" s="26"/>
      <c r="H266" s="23"/>
      <c r="I266" s="10" t="str">
        <f aca="false">IF($C266="","",G266*H266)</f>
        <v/>
      </c>
      <c r="J266" s="11" t="str">
        <f aca="false">IF(AND($C266&lt;&gt;"",E266&gt;0),F266/E266,"")</f>
        <v/>
      </c>
      <c r="K266" s="11" t="str">
        <f aca="false">IF(AND($C266&lt;&gt;"",F266&gt;0),G266/F266,"")</f>
        <v/>
      </c>
      <c r="L266" s="12" t="str">
        <f aca="false">IF(AND($C266&lt;&gt;"",F266&gt;0),I266/F266,"")</f>
        <v/>
      </c>
      <c r="M266" s="27" t="str">
        <f aca="false">IF($C266="","",IF(OR(F266=0,F266&lt;Settings!$B$5),"Need more data",IF(AND(K266&gt;=Settings!$B$6,L266&gt;=Settings!$B$7),"Keep",IF(AND(K266&lt;Settings!$B$6,L266&lt;Settings!$B$7),"Drop","Watch"))))</f>
        <v/>
      </c>
      <c r="N266" s="27" t="str">
        <f aca="false">IF($C266="","",IF(OR(F266&gt;E266,G266&gt;F266,E266&lt;0,F266&lt;0,G266&lt;0,H266&lt;0),"Check numbers","OK"))</f>
        <v/>
      </c>
    </row>
    <row r="267" customFormat="false" ht="15" hidden="false" customHeight="false" outlineLevel="0" collapsed="false">
      <c r="A267" s="25"/>
      <c r="B267" s="21"/>
      <c r="C267" s="21"/>
      <c r="D267" s="21"/>
      <c r="E267" s="26"/>
      <c r="F267" s="26"/>
      <c r="G267" s="26"/>
      <c r="H267" s="23"/>
      <c r="I267" s="10" t="str">
        <f aca="false">IF($C267="","",G267*H267)</f>
        <v/>
      </c>
      <c r="J267" s="11" t="str">
        <f aca="false">IF(AND($C267&lt;&gt;"",E267&gt;0),F267/E267,"")</f>
        <v/>
      </c>
      <c r="K267" s="11" t="str">
        <f aca="false">IF(AND($C267&lt;&gt;"",F267&gt;0),G267/F267,"")</f>
        <v/>
      </c>
      <c r="L267" s="12" t="str">
        <f aca="false">IF(AND($C267&lt;&gt;"",F267&gt;0),I267/F267,"")</f>
        <v/>
      </c>
      <c r="M267" s="27" t="str">
        <f aca="false">IF($C267="","",IF(OR(F267=0,F267&lt;Settings!$B$5),"Need more data",IF(AND(K267&gt;=Settings!$B$6,L267&gt;=Settings!$B$7),"Keep",IF(AND(K267&lt;Settings!$B$6,L267&lt;Settings!$B$7),"Drop","Watch"))))</f>
        <v/>
      </c>
      <c r="N267" s="27" t="str">
        <f aca="false">IF($C267="","",IF(OR(F267&gt;E267,G267&gt;F267,E267&lt;0,F267&lt;0,G267&lt;0,H267&lt;0),"Check numbers","OK"))</f>
        <v/>
      </c>
    </row>
    <row r="268" customFormat="false" ht="15" hidden="false" customHeight="false" outlineLevel="0" collapsed="false">
      <c r="A268" s="25"/>
      <c r="B268" s="21"/>
      <c r="C268" s="21"/>
      <c r="D268" s="21"/>
      <c r="E268" s="26"/>
      <c r="F268" s="26"/>
      <c r="G268" s="26"/>
      <c r="H268" s="23"/>
      <c r="I268" s="10" t="str">
        <f aca="false">IF($C268="","",G268*H268)</f>
        <v/>
      </c>
      <c r="J268" s="11" t="str">
        <f aca="false">IF(AND($C268&lt;&gt;"",E268&gt;0),F268/E268,"")</f>
        <v/>
      </c>
      <c r="K268" s="11" t="str">
        <f aca="false">IF(AND($C268&lt;&gt;"",F268&gt;0),G268/F268,"")</f>
        <v/>
      </c>
      <c r="L268" s="12" t="str">
        <f aca="false">IF(AND($C268&lt;&gt;"",F268&gt;0),I268/F268,"")</f>
        <v/>
      </c>
      <c r="M268" s="27" t="str">
        <f aca="false">IF($C268="","",IF(OR(F268=0,F268&lt;Settings!$B$5),"Need more data",IF(AND(K268&gt;=Settings!$B$6,L268&gt;=Settings!$B$7),"Keep",IF(AND(K268&lt;Settings!$B$6,L268&lt;Settings!$B$7),"Drop","Watch"))))</f>
        <v/>
      </c>
      <c r="N268" s="27" t="str">
        <f aca="false">IF($C268="","",IF(OR(F268&gt;E268,G268&gt;F268,E268&lt;0,F268&lt;0,G268&lt;0,H268&lt;0),"Check numbers","OK"))</f>
        <v/>
      </c>
    </row>
    <row r="269" customFormat="false" ht="15" hidden="false" customHeight="false" outlineLevel="0" collapsed="false">
      <c r="A269" s="25"/>
      <c r="B269" s="21"/>
      <c r="C269" s="21"/>
      <c r="D269" s="21"/>
      <c r="E269" s="26"/>
      <c r="F269" s="26"/>
      <c r="G269" s="26"/>
      <c r="H269" s="23"/>
      <c r="I269" s="10" t="str">
        <f aca="false">IF($C269="","",G269*H269)</f>
        <v/>
      </c>
      <c r="J269" s="11" t="str">
        <f aca="false">IF(AND($C269&lt;&gt;"",E269&gt;0),F269/E269,"")</f>
        <v/>
      </c>
      <c r="K269" s="11" t="str">
        <f aca="false">IF(AND($C269&lt;&gt;"",F269&gt;0),G269/F269,"")</f>
        <v/>
      </c>
      <c r="L269" s="12" t="str">
        <f aca="false">IF(AND($C269&lt;&gt;"",F269&gt;0),I269/F269,"")</f>
        <v/>
      </c>
      <c r="M269" s="27" t="str">
        <f aca="false">IF($C269="","",IF(OR(F269=0,F269&lt;Settings!$B$5),"Need more data",IF(AND(K269&gt;=Settings!$B$6,L269&gt;=Settings!$B$7),"Keep",IF(AND(K269&lt;Settings!$B$6,L269&lt;Settings!$B$7),"Drop","Watch"))))</f>
        <v/>
      </c>
      <c r="N269" s="27" t="str">
        <f aca="false">IF($C269="","",IF(OR(F269&gt;E269,G269&gt;F269,E269&lt;0,F269&lt;0,G269&lt;0,H269&lt;0),"Check numbers","OK"))</f>
        <v/>
      </c>
    </row>
    <row r="270" customFormat="false" ht="15" hidden="false" customHeight="false" outlineLevel="0" collapsed="false">
      <c r="A270" s="25"/>
      <c r="B270" s="21"/>
      <c r="C270" s="21"/>
      <c r="D270" s="21"/>
      <c r="E270" s="26"/>
      <c r="F270" s="26"/>
      <c r="G270" s="26"/>
      <c r="H270" s="23"/>
      <c r="I270" s="10" t="str">
        <f aca="false">IF($C270="","",G270*H270)</f>
        <v/>
      </c>
      <c r="J270" s="11" t="str">
        <f aca="false">IF(AND($C270&lt;&gt;"",E270&gt;0),F270/E270,"")</f>
        <v/>
      </c>
      <c r="K270" s="11" t="str">
        <f aca="false">IF(AND($C270&lt;&gt;"",F270&gt;0),G270/F270,"")</f>
        <v/>
      </c>
      <c r="L270" s="12" t="str">
        <f aca="false">IF(AND($C270&lt;&gt;"",F270&gt;0),I270/F270,"")</f>
        <v/>
      </c>
      <c r="M270" s="27" t="str">
        <f aca="false">IF($C270="","",IF(OR(F270=0,F270&lt;Settings!$B$5),"Need more data",IF(AND(K270&gt;=Settings!$B$6,L270&gt;=Settings!$B$7),"Keep",IF(AND(K270&lt;Settings!$B$6,L270&lt;Settings!$B$7),"Drop","Watch"))))</f>
        <v/>
      </c>
      <c r="N270" s="27" t="str">
        <f aca="false">IF($C270="","",IF(OR(F270&gt;E270,G270&gt;F270,E270&lt;0,F270&lt;0,G270&lt;0,H270&lt;0),"Check numbers","OK"))</f>
        <v/>
      </c>
    </row>
    <row r="271" customFormat="false" ht="15" hidden="false" customHeight="false" outlineLevel="0" collapsed="false">
      <c r="A271" s="25"/>
      <c r="B271" s="21"/>
      <c r="C271" s="21"/>
      <c r="D271" s="21"/>
      <c r="E271" s="26"/>
      <c r="F271" s="26"/>
      <c r="G271" s="26"/>
      <c r="H271" s="23"/>
      <c r="I271" s="10" t="str">
        <f aca="false">IF($C271="","",G271*H271)</f>
        <v/>
      </c>
      <c r="J271" s="11" t="str">
        <f aca="false">IF(AND($C271&lt;&gt;"",E271&gt;0),F271/E271,"")</f>
        <v/>
      </c>
      <c r="K271" s="11" t="str">
        <f aca="false">IF(AND($C271&lt;&gt;"",F271&gt;0),G271/F271,"")</f>
        <v/>
      </c>
      <c r="L271" s="12" t="str">
        <f aca="false">IF(AND($C271&lt;&gt;"",F271&gt;0),I271/F271,"")</f>
        <v/>
      </c>
      <c r="M271" s="27" t="str">
        <f aca="false">IF($C271="","",IF(OR(F271=0,F271&lt;Settings!$B$5),"Need more data",IF(AND(K271&gt;=Settings!$B$6,L271&gt;=Settings!$B$7),"Keep",IF(AND(K271&lt;Settings!$B$6,L271&lt;Settings!$B$7),"Drop","Watch"))))</f>
        <v/>
      </c>
      <c r="N271" s="27" t="str">
        <f aca="false">IF($C271="","",IF(OR(F271&gt;E271,G271&gt;F271,E271&lt;0,F271&lt;0,G271&lt;0,H271&lt;0),"Check numbers","OK"))</f>
        <v/>
      </c>
    </row>
    <row r="272" customFormat="false" ht="15" hidden="false" customHeight="false" outlineLevel="0" collapsed="false">
      <c r="A272" s="25"/>
      <c r="B272" s="21"/>
      <c r="C272" s="21"/>
      <c r="D272" s="21"/>
      <c r="E272" s="26"/>
      <c r="F272" s="26"/>
      <c r="G272" s="26"/>
      <c r="H272" s="23"/>
      <c r="I272" s="10" t="str">
        <f aca="false">IF($C272="","",G272*H272)</f>
        <v/>
      </c>
      <c r="J272" s="11" t="str">
        <f aca="false">IF(AND($C272&lt;&gt;"",E272&gt;0),F272/E272,"")</f>
        <v/>
      </c>
      <c r="K272" s="11" t="str">
        <f aca="false">IF(AND($C272&lt;&gt;"",F272&gt;0),G272/F272,"")</f>
        <v/>
      </c>
      <c r="L272" s="12" t="str">
        <f aca="false">IF(AND($C272&lt;&gt;"",F272&gt;0),I272/F272,"")</f>
        <v/>
      </c>
      <c r="M272" s="27" t="str">
        <f aca="false">IF($C272="","",IF(OR(F272=0,F272&lt;Settings!$B$5),"Need more data",IF(AND(K272&gt;=Settings!$B$6,L272&gt;=Settings!$B$7),"Keep",IF(AND(K272&lt;Settings!$B$6,L272&lt;Settings!$B$7),"Drop","Watch"))))</f>
        <v/>
      </c>
      <c r="N272" s="27" t="str">
        <f aca="false">IF($C272="","",IF(OR(F272&gt;E272,G272&gt;F272,E272&lt;0,F272&lt;0,G272&lt;0,H272&lt;0),"Check numbers","OK"))</f>
        <v/>
      </c>
    </row>
    <row r="273" customFormat="false" ht="15" hidden="false" customHeight="false" outlineLevel="0" collapsed="false">
      <c r="A273" s="25"/>
      <c r="B273" s="21"/>
      <c r="C273" s="21"/>
      <c r="D273" s="21"/>
      <c r="E273" s="26"/>
      <c r="F273" s="26"/>
      <c r="G273" s="26"/>
      <c r="H273" s="23"/>
      <c r="I273" s="10" t="str">
        <f aca="false">IF($C273="","",G273*H273)</f>
        <v/>
      </c>
      <c r="J273" s="11" t="str">
        <f aca="false">IF(AND($C273&lt;&gt;"",E273&gt;0),F273/E273,"")</f>
        <v/>
      </c>
      <c r="K273" s="11" t="str">
        <f aca="false">IF(AND($C273&lt;&gt;"",F273&gt;0),G273/F273,"")</f>
        <v/>
      </c>
      <c r="L273" s="12" t="str">
        <f aca="false">IF(AND($C273&lt;&gt;"",F273&gt;0),I273/F273,"")</f>
        <v/>
      </c>
      <c r="M273" s="27" t="str">
        <f aca="false">IF($C273="","",IF(OR(F273=0,F273&lt;Settings!$B$5),"Need more data",IF(AND(K273&gt;=Settings!$B$6,L273&gt;=Settings!$B$7),"Keep",IF(AND(K273&lt;Settings!$B$6,L273&lt;Settings!$B$7),"Drop","Watch"))))</f>
        <v/>
      </c>
      <c r="N273" s="27" t="str">
        <f aca="false">IF($C273="","",IF(OR(F273&gt;E273,G273&gt;F273,E273&lt;0,F273&lt;0,G273&lt;0,H273&lt;0),"Check numbers","OK"))</f>
        <v/>
      </c>
    </row>
    <row r="274" customFormat="false" ht="15" hidden="false" customHeight="false" outlineLevel="0" collapsed="false">
      <c r="A274" s="25"/>
      <c r="B274" s="21"/>
      <c r="C274" s="21"/>
      <c r="D274" s="21"/>
      <c r="E274" s="26"/>
      <c r="F274" s="26"/>
      <c r="G274" s="26"/>
      <c r="H274" s="23"/>
      <c r="I274" s="10" t="str">
        <f aca="false">IF($C274="","",G274*H274)</f>
        <v/>
      </c>
      <c r="J274" s="11" t="str">
        <f aca="false">IF(AND($C274&lt;&gt;"",E274&gt;0),F274/E274,"")</f>
        <v/>
      </c>
      <c r="K274" s="11" t="str">
        <f aca="false">IF(AND($C274&lt;&gt;"",F274&gt;0),G274/F274,"")</f>
        <v/>
      </c>
      <c r="L274" s="12" t="str">
        <f aca="false">IF(AND($C274&lt;&gt;"",F274&gt;0),I274/F274,"")</f>
        <v/>
      </c>
      <c r="M274" s="27" t="str">
        <f aca="false">IF($C274="","",IF(OR(F274=0,F274&lt;Settings!$B$5),"Need more data",IF(AND(K274&gt;=Settings!$B$6,L274&gt;=Settings!$B$7),"Keep",IF(AND(K274&lt;Settings!$B$6,L274&lt;Settings!$B$7),"Drop","Watch"))))</f>
        <v/>
      </c>
      <c r="N274" s="27" t="str">
        <f aca="false">IF($C274="","",IF(OR(F274&gt;E274,G274&gt;F274,E274&lt;0,F274&lt;0,G274&lt;0,H274&lt;0),"Check numbers","OK"))</f>
        <v/>
      </c>
    </row>
    <row r="275" customFormat="false" ht="15" hidden="false" customHeight="false" outlineLevel="0" collapsed="false">
      <c r="A275" s="25"/>
      <c r="B275" s="21"/>
      <c r="C275" s="21"/>
      <c r="D275" s="21"/>
      <c r="E275" s="26"/>
      <c r="F275" s="26"/>
      <c r="G275" s="26"/>
      <c r="H275" s="23"/>
      <c r="I275" s="10" t="str">
        <f aca="false">IF($C275="","",G275*H275)</f>
        <v/>
      </c>
      <c r="J275" s="11" t="str">
        <f aca="false">IF(AND($C275&lt;&gt;"",E275&gt;0),F275/E275,"")</f>
        <v/>
      </c>
      <c r="K275" s="11" t="str">
        <f aca="false">IF(AND($C275&lt;&gt;"",F275&gt;0),G275/F275,"")</f>
        <v/>
      </c>
      <c r="L275" s="12" t="str">
        <f aca="false">IF(AND($C275&lt;&gt;"",F275&gt;0),I275/F275,"")</f>
        <v/>
      </c>
      <c r="M275" s="27" t="str">
        <f aca="false">IF($C275="","",IF(OR(F275=0,F275&lt;Settings!$B$5),"Need more data",IF(AND(K275&gt;=Settings!$B$6,L275&gt;=Settings!$B$7),"Keep",IF(AND(K275&lt;Settings!$B$6,L275&lt;Settings!$B$7),"Drop","Watch"))))</f>
        <v/>
      </c>
      <c r="N275" s="27" t="str">
        <f aca="false">IF($C275="","",IF(OR(F275&gt;E275,G275&gt;F275,E275&lt;0,F275&lt;0,G275&lt;0,H275&lt;0),"Check numbers","OK"))</f>
        <v/>
      </c>
    </row>
    <row r="276" customFormat="false" ht="15" hidden="false" customHeight="false" outlineLevel="0" collapsed="false">
      <c r="A276" s="25"/>
      <c r="B276" s="21"/>
      <c r="C276" s="21"/>
      <c r="D276" s="21"/>
      <c r="E276" s="26"/>
      <c r="F276" s="26"/>
      <c r="G276" s="26"/>
      <c r="H276" s="23"/>
      <c r="I276" s="10" t="str">
        <f aca="false">IF($C276="","",G276*H276)</f>
        <v/>
      </c>
      <c r="J276" s="11" t="str">
        <f aca="false">IF(AND($C276&lt;&gt;"",E276&gt;0),F276/E276,"")</f>
        <v/>
      </c>
      <c r="K276" s="11" t="str">
        <f aca="false">IF(AND($C276&lt;&gt;"",F276&gt;0),G276/F276,"")</f>
        <v/>
      </c>
      <c r="L276" s="12" t="str">
        <f aca="false">IF(AND($C276&lt;&gt;"",F276&gt;0),I276/F276,"")</f>
        <v/>
      </c>
      <c r="M276" s="27" t="str">
        <f aca="false">IF($C276="","",IF(OR(F276=0,F276&lt;Settings!$B$5),"Need more data",IF(AND(K276&gt;=Settings!$B$6,L276&gt;=Settings!$B$7),"Keep",IF(AND(K276&lt;Settings!$B$6,L276&lt;Settings!$B$7),"Drop","Watch"))))</f>
        <v/>
      </c>
      <c r="N276" s="27" t="str">
        <f aca="false">IF($C276="","",IF(OR(F276&gt;E276,G276&gt;F276,E276&lt;0,F276&lt;0,G276&lt;0,H276&lt;0),"Check numbers","OK"))</f>
        <v/>
      </c>
    </row>
    <row r="277" customFormat="false" ht="15" hidden="false" customHeight="false" outlineLevel="0" collapsed="false">
      <c r="A277" s="25"/>
      <c r="B277" s="21"/>
      <c r="C277" s="21"/>
      <c r="D277" s="21"/>
      <c r="E277" s="26"/>
      <c r="F277" s="26"/>
      <c r="G277" s="26"/>
      <c r="H277" s="23"/>
      <c r="I277" s="10" t="str">
        <f aca="false">IF($C277="","",G277*H277)</f>
        <v/>
      </c>
      <c r="J277" s="11" t="str">
        <f aca="false">IF(AND($C277&lt;&gt;"",E277&gt;0),F277/E277,"")</f>
        <v/>
      </c>
      <c r="K277" s="11" t="str">
        <f aca="false">IF(AND($C277&lt;&gt;"",F277&gt;0),G277/F277,"")</f>
        <v/>
      </c>
      <c r="L277" s="12" t="str">
        <f aca="false">IF(AND($C277&lt;&gt;"",F277&gt;0),I277/F277,"")</f>
        <v/>
      </c>
      <c r="M277" s="27" t="str">
        <f aca="false">IF($C277="","",IF(OR(F277=0,F277&lt;Settings!$B$5),"Need more data",IF(AND(K277&gt;=Settings!$B$6,L277&gt;=Settings!$B$7),"Keep",IF(AND(K277&lt;Settings!$B$6,L277&lt;Settings!$B$7),"Drop","Watch"))))</f>
        <v/>
      </c>
      <c r="N277" s="27" t="str">
        <f aca="false">IF($C277="","",IF(OR(F277&gt;E277,G277&gt;F277,E277&lt;0,F277&lt;0,G277&lt;0,H277&lt;0),"Check numbers","OK"))</f>
        <v/>
      </c>
    </row>
    <row r="278" customFormat="false" ht="15" hidden="false" customHeight="false" outlineLevel="0" collapsed="false">
      <c r="A278" s="25"/>
      <c r="B278" s="21"/>
      <c r="C278" s="21"/>
      <c r="D278" s="21"/>
      <c r="E278" s="26"/>
      <c r="F278" s="26"/>
      <c r="G278" s="26"/>
      <c r="H278" s="23"/>
      <c r="I278" s="10" t="str">
        <f aca="false">IF($C278="","",G278*H278)</f>
        <v/>
      </c>
      <c r="J278" s="11" t="str">
        <f aca="false">IF(AND($C278&lt;&gt;"",E278&gt;0),F278/E278,"")</f>
        <v/>
      </c>
      <c r="K278" s="11" t="str">
        <f aca="false">IF(AND($C278&lt;&gt;"",F278&gt;0),G278/F278,"")</f>
        <v/>
      </c>
      <c r="L278" s="12" t="str">
        <f aca="false">IF(AND($C278&lt;&gt;"",F278&gt;0),I278/F278,"")</f>
        <v/>
      </c>
      <c r="M278" s="27" t="str">
        <f aca="false">IF($C278="","",IF(OR(F278=0,F278&lt;Settings!$B$5),"Need more data",IF(AND(K278&gt;=Settings!$B$6,L278&gt;=Settings!$B$7),"Keep",IF(AND(K278&lt;Settings!$B$6,L278&lt;Settings!$B$7),"Drop","Watch"))))</f>
        <v/>
      </c>
      <c r="N278" s="27" t="str">
        <f aca="false">IF($C278="","",IF(OR(F278&gt;E278,G278&gt;F278,E278&lt;0,F278&lt;0,G278&lt;0,H278&lt;0),"Check numbers","OK"))</f>
        <v/>
      </c>
    </row>
    <row r="279" customFormat="false" ht="15" hidden="false" customHeight="false" outlineLevel="0" collapsed="false">
      <c r="A279" s="25"/>
      <c r="B279" s="21"/>
      <c r="C279" s="21"/>
      <c r="D279" s="21"/>
      <c r="E279" s="26"/>
      <c r="F279" s="26"/>
      <c r="G279" s="26"/>
      <c r="H279" s="23"/>
      <c r="I279" s="10" t="str">
        <f aca="false">IF($C279="","",G279*H279)</f>
        <v/>
      </c>
      <c r="J279" s="11" t="str">
        <f aca="false">IF(AND($C279&lt;&gt;"",E279&gt;0),F279/E279,"")</f>
        <v/>
      </c>
      <c r="K279" s="11" t="str">
        <f aca="false">IF(AND($C279&lt;&gt;"",F279&gt;0),G279/F279,"")</f>
        <v/>
      </c>
      <c r="L279" s="12" t="str">
        <f aca="false">IF(AND($C279&lt;&gt;"",F279&gt;0),I279/F279,"")</f>
        <v/>
      </c>
      <c r="M279" s="27" t="str">
        <f aca="false">IF($C279="","",IF(OR(F279=0,F279&lt;Settings!$B$5),"Need more data",IF(AND(K279&gt;=Settings!$B$6,L279&gt;=Settings!$B$7),"Keep",IF(AND(K279&lt;Settings!$B$6,L279&lt;Settings!$B$7),"Drop","Watch"))))</f>
        <v/>
      </c>
      <c r="N279" s="27" t="str">
        <f aca="false">IF($C279="","",IF(OR(F279&gt;E279,G279&gt;F279,E279&lt;0,F279&lt;0,G279&lt;0,H279&lt;0),"Check numbers","OK"))</f>
        <v/>
      </c>
    </row>
    <row r="280" customFormat="false" ht="15" hidden="false" customHeight="false" outlineLevel="0" collapsed="false">
      <c r="A280" s="25"/>
      <c r="B280" s="21"/>
      <c r="C280" s="21"/>
      <c r="D280" s="21"/>
      <c r="E280" s="26"/>
      <c r="F280" s="26"/>
      <c r="G280" s="26"/>
      <c r="H280" s="23"/>
      <c r="I280" s="10" t="str">
        <f aca="false">IF($C280="","",G280*H280)</f>
        <v/>
      </c>
      <c r="J280" s="11" t="str">
        <f aca="false">IF(AND($C280&lt;&gt;"",E280&gt;0),F280/E280,"")</f>
        <v/>
      </c>
      <c r="K280" s="11" t="str">
        <f aca="false">IF(AND($C280&lt;&gt;"",F280&gt;0),G280/F280,"")</f>
        <v/>
      </c>
      <c r="L280" s="12" t="str">
        <f aca="false">IF(AND($C280&lt;&gt;"",F280&gt;0),I280/F280,"")</f>
        <v/>
      </c>
      <c r="M280" s="27" t="str">
        <f aca="false">IF($C280="","",IF(OR(F280=0,F280&lt;Settings!$B$5),"Need more data",IF(AND(K280&gt;=Settings!$B$6,L280&gt;=Settings!$B$7),"Keep",IF(AND(K280&lt;Settings!$B$6,L280&lt;Settings!$B$7),"Drop","Watch"))))</f>
        <v/>
      </c>
      <c r="N280" s="27" t="str">
        <f aca="false">IF($C280="","",IF(OR(F280&gt;E280,G280&gt;F280,E280&lt;0,F280&lt;0,G280&lt;0,H280&lt;0),"Check numbers","OK"))</f>
        <v/>
      </c>
    </row>
    <row r="281" customFormat="false" ht="15" hidden="false" customHeight="false" outlineLevel="0" collapsed="false">
      <c r="A281" s="25"/>
      <c r="B281" s="21"/>
      <c r="C281" s="21"/>
      <c r="D281" s="21"/>
      <c r="E281" s="26"/>
      <c r="F281" s="26"/>
      <c r="G281" s="26"/>
      <c r="H281" s="23"/>
      <c r="I281" s="10" t="str">
        <f aca="false">IF($C281="","",G281*H281)</f>
        <v/>
      </c>
      <c r="J281" s="11" t="str">
        <f aca="false">IF(AND($C281&lt;&gt;"",E281&gt;0),F281/E281,"")</f>
        <v/>
      </c>
      <c r="K281" s="11" t="str">
        <f aca="false">IF(AND($C281&lt;&gt;"",F281&gt;0),G281/F281,"")</f>
        <v/>
      </c>
      <c r="L281" s="12" t="str">
        <f aca="false">IF(AND($C281&lt;&gt;"",F281&gt;0),I281/F281,"")</f>
        <v/>
      </c>
      <c r="M281" s="27" t="str">
        <f aca="false">IF($C281="","",IF(OR(F281=0,F281&lt;Settings!$B$5),"Need more data",IF(AND(K281&gt;=Settings!$B$6,L281&gt;=Settings!$B$7),"Keep",IF(AND(K281&lt;Settings!$B$6,L281&lt;Settings!$B$7),"Drop","Watch"))))</f>
        <v/>
      </c>
      <c r="N281" s="27" t="str">
        <f aca="false">IF($C281="","",IF(OR(F281&gt;E281,G281&gt;F281,E281&lt;0,F281&lt;0,G281&lt;0,H281&lt;0),"Check numbers","OK"))</f>
        <v/>
      </c>
    </row>
    <row r="282" customFormat="false" ht="15" hidden="false" customHeight="false" outlineLevel="0" collapsed="false">
      <c r="A282" s="25"/>
      <c r="B282" s="21"/>
      <c r="C282" s="21"/>
      <c r="D282" s="21"/>
      <c r="E282" s="26"/>
      <c r="F282" s="26"/>
      <c r="G282" s="26"/>
      <c r="H282" s="23"/>
      <c r="I282" s="10" t="str">
        <f aca="false">IF($C282="","",G282*H282)</f>
        <v/>
      </c>
      <c r="J282" s="11" t="str">
        <f aca="false">IF(AND($C282&lt;&gt;"",E282&gt;0),F282/E282,"")</f>
        <v/>
      </c>
      <c r="K282" s="11" t="str">
        <f aca="false">IF(AND($C282&lt;&gt;"",F282&gt;0),G282/F282,"")</f>
        <v/>
      </c>
      <c r="L282" s="12" t="str">
        <f aca="false">IF(AND($C282&lt;&gt;"",F282&gt;0),I282/F282,"")</f>
        <v/>
      </c>
      <c r="M282" s="27" t="str">
        <f aca="false">IF($C282="","",IF(OR(F282=0,F282&lt;Settings!$B$5),"Need more data",IF(AND(K282&gt;=Settings!$B$6,L282&gt;=Settings!$B$7),"Keep",IF(AND(K282&lt;Settings!$B$6,L282&lt;Settings!$B$7),"Drop","Watch"))))</f>
        <v/>
      </c>
      <c r="N282" s="27" t="str">
        <f aca="false">IF($C282="","",IF(OR(F282&gt;E282,G282&gt;F282,E282&lt;0,F282&lt;0,G282&lt;0,H282&lt;0),"Check numbers","OK"))</f>
        <v/>
      </c>
    </row>
    <row r="283" customFormat="false" ht="15" hidden="false" customHeight="false" outlineLevel="0" collapsed="false">
      <c r="A283" s="25"/>
      <c r="B283" s="21"/>
      <c r="C283" s="21"/>
      <c r="D283" s="21"/>
      <c r="E283" s="26"/>
      <c r="F283" s="26"/>
      <c r="G283" s="26"/>
      <c r="H283" s="23"/>
      <c r="I283" s="10" t="str">
        <f aca="false">IF($C283="","",G283*H283)</f>
        <v/>
      </c>
      <c r="J283" s="11" t="str">
        <f aca="false">IF(AND($C283&lt;&gt;"",E283&gt;0),F283/E283,"")</f>
        <v/>
      </c>
      <c r="K283" s="11" t="str">
        <f aca="false">IF(AND($C283&lt;&gt;"",F283&gt;0),G283/F283,"")</f>
        <v/>
      </c>
      <c r="L283" s="12" t="str">
        <f aca="false">IF(AND($C283&lt;&gt;"",F283&gt;0),I283/F283,"")</f>
        <v/>
      </c>
      <c r="M283" s="27" t="str">
        <f aca="false">IF($C283="","",IF(OR(F283=0,F283&lt;Settings!$B$5),"Need more data",IF(AND(K283&gt;=Settings!$B$6,L283&gt;=Settings!$B$7),"Keep",IF(AND(K283&lt;Settings!$B$6,L283&lt;Settings!$B$7),"Drop","Watch"))))</f>
        <v/>
      </c>
      <c r="N283" s="27" t="str">
        <f aca="false">IF($C283="","",IF(OR(F283&gt;E283,G283&gt;F283,E283&lt;0,F283&lt;0,G283&lt;0,H283&lt;0),"Check numbers","OK"))</f>
        <v/>
      </c>
    </row>
    <row r="284" customFormat="false" ht="15" hidden="false" customHeight="false" outlineLevel="0" collapsed="false">
      <c r="A284" s="25"/>
      <c r="B284" s="21"/>
      <c r="C284" s="21"/>
      <c r="D284" s="21"/>
      <c r="E284" s="26"/>
      <c r="F284" s="26"/>
      <c r="G284" s="26"/>
      <c r="H284" s="23"/>
      <c r="I284" s="10" t="str">
        <f aca="false">IF($C284="","",G284*H284)</f>
        <v/>
      </c>
      <c r="J284" s="11" t="str">
        <f aca="false">IF(AND($C284&lt;&gt;"",E284&gt;0),F284/E284,"")</f>
        <v/>
      </c>
      <c r="K284" s="11" t="str">
        <f aca="false">IF(AND($C284&lt;&gt;"",F284&gt;0),G284/F284,"")</f>
        <v/>
      </c>
      <c r="L284" s="12" t="str">
        <f aca="false">IF(AND($C284&lt;&gt;"",F284&gt;0),I284/F284,"")</f>
        <v/>
      </c>
      <c r="M284" s="27" t="str">
        <f aca="false">IF($C284="","",IF(OR(F284=0,F284&lt;Settings!$B$5),"Need more data",IF(AND(K284&gt;=Settings!$B$6,L284&gt;=Settings!$B$7),"Keep",IF(AND(K284&lt;Settings!$B$6,L284&lt;Settings!$B$7),"Drop","Watch"))))</f>
        <v/>
      </c>
      <c r="N284" s="27" t="str">
        <f aca="false">IF($C284="","",IF(OR(F284&gt;E284,G284&gt;F284,E284&lt;0,F284&lt;0,G284&lt;0,H284&lt;0),"Check numbers","OK"))</f>
        <v/>
      </c>
    </row>
    <row r="285" customFormat="false" ht="15" hidden="false" customHeight="false" outlineLevel="0" collapsed="false">
      <c r="A285" s="25"/>
      <c r="B285" s="21"/>
      <c r="C285" s="21"/>
      <c r="D285" s="21"/>
      <c r="E285" s="26"/>
      <c r="F285" s="26"/>
      <c r="G285" s="26"/>
      <c r="H285" s="23"/>
      <c r="I285" s="10" t="str">
        <f aca="false">IF($C285="","",G285*H285)</f>
        <v/>
      </c>
      <c r="J285" s="11" t="str">
        <f aca="false">IF(AND($C285&lt;&gt;"",E285&gt;0),F285/E285,"")</f>
        <v/>
      </c>
      <c r="K285" s="11" t="str">
        <f aca="false">IF(AND($C285&lt;&gt;"",F285&gt;0),G285/F285,"")</f>
        <v/>
      </c>
      <c r="L285" s="12" t="str">
        <f aca="false">IF(AND($C285&lt;&gt;"",F285&gt;0),I285/F285,"")</f>
        <v/>
      </c>
      <c r="M285" s="27" t="str">
        <f aca="false">IF($C285="","",IF(OR(F285=0,F285&lt;Settings!$B$5),"Need more data",IF(AND(K285&gt;=Settings!$B$6,L285&gt;=Settings!$B$7),"Keep",IF(AND(K285&lt;Settings!$B$6,L285&lt;Settings!$B$7),"Drop","Watch"))))</f>
        <v/>
      </c>
      <c r="N285" s="27" t="str">
        <f aca="false">IF($C285="","",IF(OR(F285&gt;E285,G285&gt;F285,E285&lt;0,F285&lt;0,G285&lt;0,H285&lt;0),"Check numbers","OK"))</f>
        <v/>
      </c>
    </row>
    <row r="286" customFormat="false" ht="15" hidden="false" customHeight="false" outlineLevel="0" collapsed="false">
      <c r="A286" s="25"/>
      <c r="B286" s="21"/>
      <c r="C286" s="21"/>
      <c r="D286" s="21"/>
      <c r="E286" s="26"/>
      <c r="F286" s="26"/>
      <c r="G286" s="26"/>
      <c r="H286" s="23"/>
      <c r="I286" s="10" t="str">
        <f aca="false">IF($C286="","",G286*H286)</f>
        <v/>
      </c>
      <c r="J286" s="11" t="str">
        <f aca="false">IF(AND($C286&lt;&gt;"",E286&gt;0),F286/E286,"")</f>
        <v/>
      </c>
      <c r="K286" s="11" t="str">
        <f aca="false">IF(AND($C286&lt;&gt;"",F286&gt;0),G286/F286,"")</f>
        <v/>
      </c>
      <c r="L286" s="12" t="str">
        <f aca="false">IF(AND($C286&lt;&gt;"",F286&gt;0),I286/F286,"")</f>
        <v/>
      </c>
      <c r="M286" s="27" t="str">
        <f aca="false">IF($C286="","",IF(OR(F286=0,F286&lt;Settings!$B$5),"Need more data",IF(AND(K286&gt;=Settings!$B$6,L286&gt;=Settings!$B$7),"Keep",IF(AND(K286&lt;Settings!$B$6,L286&lt;Settings!$B$7),"Drop","Watch"))))</f>
        <v/>
      </c>
      <c r="N286" s="27" t="str">
        <f aca="false">IF($C286="","",IF(OR(F286&gt;E286,G286&gt;F286,E286&lt;0,F286&lt;0,G286&lt;0,H286&lt;0),"Check numbers","OK"))</f>
        <v/>
      </c>
    </row>
    <row r="287" customFormat="false" ht="15" hidden="false" customHeight="false" outlineLevel="0" collapsed="false">
      <c r="A287" s="25"/>
      <c r="B287" s="21"/>
      <c r="C287" s="21"/>
      <c r="D287" s="21"/>
      <c r="E287" s="26"/>
      <c r="F287" s="26"/>
      <c r="G287" s="26"/>
      <c r="H287" s="23"/>
      <c r="I287" s="10" t="str">
        <f aca="false">IF($C287="","",G287*H287)</f>
        <v/>
      </c>
      <c r="J287" s="11" t="str">
        <f aca="false">IF(AND($C287&lt;&gt;"",E287&gt;0),F287/E287,"")</f>
        <v/>
      </c>
      <c r="K287" s="11" t="str">
        <f aca="false">IF(AND($C287&lt;&gt;"",F287&gt;0),G287/F287,"")</f>
        <v/>
      </c>
      <c r="L287" s="12" t="str">
        <f aca="false">IF(AND($C287&lt;&gt;"",F287&gt;0),I287/F287,"")</f>
        <v/>
      </c>
      <c r="M287" s="27" t="str">
        <f aca="false">IF($C287="","",IF(OR(F287=0,F287&lt;Settings!$B$5),"Need more data",IF(AND(K287&gt;=Settings!$B$6,L287&gt;=Settings!$B$7),"Keep",IF(AND(K287&lt;Settings!$B$6,L287&lt;Settings!$B$7),"Drop","Watch"))))</f>
        <v/>
      </c>
      <c r="N287" s="27" t="str">
        <f aca="false">IF($C287="","",IF(OR(F287&gt;E287,G287&gt;F287,E287&lt;0,F287&lt;0,G287&lt;0,H287&lt;0),"Check numbers","OK"))</f>
        <v/>
      </c>
    </row>
    <row r="288" customFormat="false" ht="15" hidden="false" customHeight="false" outlineLevel="0" collapsed="false">
      <c r="A288" s="25"/>
      <c r="B288" s="21"/>
      <c r="C288" s="21"/>
      <c r="D288" s="21"/>
      <c r="E288" s="26"/>
      <c r="F288" s="26"/>
      <c r="G288" s="26"/>
      <c r="H288" s="23"/>
      <c r="I288" s="10" t="str">
        <f aca="false">IF($C288="","",G288*H288)</f>
        <v/>
      </c>
      <c r="J288" s="11" t="str">
        <f aca="false">IF(AND($C288&lt;&gt;"",E288&gt;0),F288/E288,"")</f>
        <v/>
      </c>
      <c r="K288" s="11" t="str">
        <f aca="false">IF(AND($C288&lt;&gt;"",F288&gt;0),G288/F288,"")</f>
        <v/>
      </c>
      <c r="L288" s="12" t="str">
        <f aca="false">IF(AND($C288&lt;&gt;"",F288&gt;0),I288/F288,"")</f>
        <v/>
      </c>
      <c r="M288" s="27" t="str">
        <f aca="false">IF($C288="","",IF(OR(F288=0,F288&lt;Settings!$B$5),"Need more data",IF(AND(K288&gt;=Settings!$B$6,L288&gt;=Settings!$B$7),"Keep",IF(AND(K288&lt;Settings!$B$6,L288&lt;Settings!$B$7),"Drop","Watch"))))</f>
        <v/>
      </c>
      <c r="N288" s="27" t="str">
        <f aca="false">IF($C288="","",IF(OR(F288&gt;E288,G288&gt;F288,E288&lt;0,F288&lt;0,G288&lt;0,H288&lt;0),"Check numbers","OK"))</f>
        <v/>
      </c>
    </row>
    <row r="289" customFormat="false" ht="15" hidden="false" customHeight="false" outlineLevel="0" collapsed="false">
      <c r="A289" s="25"/>
      <c r="B289" s="21"/>
      <c r="C289" s="21"/>
      <c r="D289" s="21"/>
      <c r="E289" s="26"/>
      <c r="F289" s="26"/>
      <c r="G289" s="26"/>
      <c r="H289" s="23"/>
      <c r="I289" s="10" t="str">
        <f aca="false">IF($C289="","",G289*H289)</f>
        <v/>
      </c>
      <c r="J289" s="11" t="str">
        <f aca="false">IF(AND($C289&lt;&gt;"",E289&gt;0),F289/E289,"")</f>
        <v/>
      </c>
      <c r="K289" s="11" t="str">
        <f aca="false">IF(AND($C289&lt;&gt;"",F289&gt;0),G289/F289,"")</f>
        <v/>
      </c>
      <c r="L289" s="12" t="str">
        <f aca="false">IF(AND($C289&lt;&gt;"",F289&gt;0),I289/F289,"")</f>
        <v/>
      </c>
      <c r="M289" s="27" t="str">
        <f aca="false">IF($C289="","",IF(OR(F289=0,F289&lt;Settings!$B$5),"Need more data",IF(AND(K289&gt;=Settings!$B$6,L289&gt;=Settings!$B$7),"Keep",IF(AND(K289&lt;Settings!$B$6,L289&lt;Settings!$B$7),"Drop","Watch"))))</f>
        <v/>
      </c>
      <c r="N289" s="27" t="str">
        <f aca="false">IF($C289="","",IF(OR(F289&gt;E289,G289&gt;F289,E289&lt;0,F289&lt;0,G289&lt;0,H289&lt;0),"Check numbers","OK"))</f>
        <v/>
      </c>
    </row>
    <row r="290" customFormat="false" ht="15" hidden="false" customHeight="false" outlineLevel="0" collapsed="false">
      <c r="A290" s="25"/>
      <c r="B290" s="21"/>
      <c r="C290" s="21"/>
      <c r="D290" s="21"/>
      <c r="E290" s="26"/>
      <c r="F290" s="26"/>
      <c r="G290" s="26"/>
      <c r="H290" s="23"/>
      <c r="I290" s="10" t="str">
        <f aca="false">IF($C290="","",G290*H290)</f>
        <v/>
      </c>
      <c r="J290" s="11" t="str">
        <f aca="false">IF(AND($C290&lt;&gt;"",E290&gt;0),F290/E290,"")</f>
        <v/>
      </c>
      <c r="K290" s="11" t="str">
        <f aca="false">IF(AND($C290&lt;&gt;"",F290&gt;0),G290/F290,"")</f>
        <v/>
      </c>
      <c r="L290" s="12" t="str">
        <f aca="false">IF(AND($C290&lt;&gt;"",F290&gt;0),I290/F290,"")</f>
        <v/>
      </c>
      <c r="M290" s="27" t="str">
        <f aca="false">IF($C290="","",IF(OR(F290=0,F290&lt;Settings!$B$5),"Need more data",IF(AND(K290&gt;=Settings!$B$6,L290&gt;=Settings!$B$7),"Keep",IF(AND(K290&lt;Settings!$B$6,L290&lt;Settings!$B$7),"Drop","Watch"))))</f>
        <v/>
      </c>
      <c r="N290" s="27" t="str">
        <f aca="false">IF($C290="","",IF(OR(F290&gt;E290,G290&gt;F290,E290&lt;0,F290&lt;0,G290&lt;0,H290&lt;0),"Check numbers","OK"))</f>
        <v/>
      </c>
    </row>
    <row r="291" customFormat="false" ht="15" hidden="false" customHeight="false" outlineLevel="0" collapsed="false">
      <c r="A291" s="25"/>
      <c r="B291" s="21"/>
      <c r="C291" s="21"/>
      <c r="D291" s="21"/>
      <c r="E291" s="26"/>
      <c r="F291" s="26"/>
      <c r="G291" s="26"/>
      <c r="H291" s="23"/>
      <c r="I291" s="10" t="str">
        <f aca="false">IF($C291="","",G291*H291)</f>
        <v/>
      </c>
      <c r="J291" s="11" t="str">
        <f aca="false">IF(AND($C291&lt;&gt;"",E291&gt;0),F291/E291,"")</f>
        <v/>
      </c>
      <c r="K291" s="11" t="str">
        <f aca="false">IF(AND($C291&lt;&gt;"",F291&gt;0),G291/F291,"")</f>
        <v/>
      </c>
      <c r="L291" s="12" t="str">
        <f aca="false">IF(AND($C291&lt;&gt;"",F291&gt;0),I291/F291,"")</f>
        <v/>
      </c>
      <c r="M291" s="27" t="str">
        <f aca="false">IF($C291="","",IF(OR(F291=0,F291&lt;Settings!$B$5),"Need more data",IF(AND(K291&gt;=Settings!$B$6,L291&gt;=Settings!$B$7),"Keep",IF(AND(K291&lt;Settings!$B$6,L291&lt;Settings!$B$7),"Drop","Watch"))))</f>
        <v/>
      </c>
      <c r="N291" s="27" t="str">
        <f aca="false">IF($C291="","",IF(OR(F291&gt;E291,G291&gt;F291,E291&lt;0,F291&lt;0,G291&lt;0,H291&lt;0),"Check numbers","OK"))</f>
        <v/>
      </c>
    </row>
    <row r="292" customFormat="false" ht="15" hidden="false" customHeight="false" outlineLevel="0" collapsed="false">
      <c r="A292" s="25"/>
      <c r="B292" s="21"/>
      <c r="C292" s="21"/>
      <c r="D292" s="21"/>
      <c r="E292" s="26"/>
      <c r="F292" s="26"/>
      <c r="G292" s="26"/>
      <c r="H292" s="23"/>
      <c r="I292" s="10" t="str">
        <f aca="false">IF($C292="","",G292*H292)</f>
        <v/>
      </c>
      <c r="J292" s="11" t="str">
        <f aca="false">IF(AND($C292&lt;&gt;"",E292&gt;0),F292/E292,"")</f>
        <v/>
      </c>
      <c r="K292" s="11" t="str">
        <f aca="false">IF(AND($C292&lt;&gt;"",F292&gt;0),G292/F292,"")</f>
        <v/>
      </c>
      <c r="L292" s="12" t="str">
        <f aca="false">IF(AND($C292&lt;&gt;"",F292&gt;0),I292/F292,"")</f>
        <v/>
      </c>
      <c r="M292" s="27" t="str">
        <f aca="false">IF($C292="","",IF(OR(F292=0,F292&lt;Settings!$B$5),"Need more data",IF(AND(K292&gt;=Settings!$B$6,L292&gt;=Settings!$B$7),"Keep",IF(AND(K292&lt;Settings!$B$6,L292&lt;Settings!$B$7),"Drop","Watch"))))</f>
        <v/>
      </c>
      <c r="N292" s="27" t="str">
        <f aca="false">IF($C292="","",IF(OR(F292&gt;E292,G292&gt;F292,E292&lt;0,F292&lt;0,G292&lt;0,H292&lt;0),"Check numbers","OK"))</f>
        <v/>
      </c>
    </row>
    <row r="293" customFormat="false" ht="15" hidden="false" customHeight="false" outlineLevel="0" collapsed="false">
      <c r="A293" s="25"/>
      <c r="B293" s="21"/>
      <c r="C293" s="21"/>
      <c r="D293" s="21"/>
      <c r="E293" s="26"/>
      <c r="F293" s="26"/>
      <c r="G293" s="26"/>
      <c r="H293" s="23"/>
      <c r="I293" s="10" t="str">
        <f aca="false">IF($C293="","",G293*H293)</f>
        <v/>
      </c>
      <c r="J293" s="11" t="str">
        <f aca="false">IF(AND($C293&lt;&gt;"",E293&gt;0),F293/E293,"")</f>
        <v/>
      </c>
      <c r="K293" s="11" t="str">
        <f aca="false">IF(AND($C293&lt;&gt;"",F293&gt;0),G293/F293,"")</f>
        <v/>
      </c>
      <c r="L293" s="12" t="str">
        <f aca="false">IF(AND($C293&lt;&gt;"",F293&gt;0),I293/F293,"")</f>
        <v/>
      </c>
      <c r="M293" s="27" t="str">
        <f aca="false">IF($C293="","",IF(OR(F293=0,F293&lt;Settings!$B$5),"Need more data",IF(AND(K293&gt;=Settings!$B$6,L293&gt;=Settings!$B$7),"Keep",IF(AND(K293&lt;Settings!$B$6,L293&lt;Settings!$B$7),"Drop","Watch"))))</f>
        <v/>
      </c>
      <c r="N293" s="27" t="str">
        <f aca="false">IF($C293="","",IF(OR(F293&gt;E293,G293&gt;F293,E293&lt;0,F293&lt;0,G293&lt;0,H293&lt;0),"Check numbers","OK"))</f>
        <v/>
      </c>
    </row>
    <row r="294" customFormat="false" ht="15" hidden="false" customHeight="false" outlineLevel="0" collapsed="false">
      <c r="A294" s="25"/>
      <c r="B294" s="21"/>
      <c r="C294" s="21"/>
      <c r="D294" s="21"/>
      <c r="E294" s="26"/>
      <c r="F294" s="26"/>
      <c r="G294" s="26"/>
      <c r="H294" s="23"/>
      <c r="I294" s="10" t="str">
        <f aca="false">IF($C294="","",G294*H294)</f>
        <v/>
      </c>
      <c r="J294" s="11" t="str">
        <f aca="false">IF(AND($C294&lt;&gt;"",E294&gt;0),F294/E294,"")</f>
        <v/>
      </c>
      <c r="K294" s="11" t="str">
        <f aca="false">IF(AND($C294&lt;&gt;"",F294&gt;0),G294/F294,"")</f>
        <v/>
      </c>
      <c r="L294" s="12" t="str">
        <f aca="false">IF(AND($C294&lt;&gt;"",F294&gt;0),I294/F294,"")</f>
        <v/>
      </c>
      <c r="M294" s="27" t="str">
        <f aca="false">IF($C294="","",IF(OR(F294=0,F294&lt;Settings!$B$5),"Need more data",IF(AND(K294&gt;=Settings!$B$6,L294&gt;=Settings!$B$7),"Keep",IF(AND(K294&lt;Settings!$B$6,L294&lt;Settings!$B$7),"Drop","Watch"))))</f>
        <v/>
      </c>
      <c r="N294" s="27" t="str">
        <f aca="false">IF($C294="","",IF(OR(F294&gt;E294,G294&gt;F294,E294&lt;0,F294&lt;0,G294&lt;0,H294&lt;0),"Check numbers","OK"))</f>
        <v/>
      </c>
    </row>
    <row r="295" customFormat="false" ht="15" hidden="false" customHeight="false" outlineLevel="0" collapsed="false">
      <c r="A295" s="25"/>
      <c r="B295" s="21"/>
      <c r="C295" s="21"/>
      <c r="D295" s="21"/>
      <c r="E295" s="26"/>
      <c r="F295" s="26"/>
      <c r="G295" s="26"/>
      <c r="H295" s="23"/>
      <c r="I295" s="10" t="str">
        <f aca="false">IF($C295="","",G295*H295)</f>
        <v/>
      </c>
      <c r="J295" s="11" t="str">
        <f aca="false">IF(AND($C295&lt;&gt;"",E295&gt;0),F295/E295,"")</f>
        <v/>
      </c>
      <c r="K295" s="11" t="str">
        <f aca="false">IF(AND($C295&lt;&gt;"",F295&gt;0),G295/F295,"")</f>
        <v/>
      </c>
      <c r="L295" s="12" t="str">
        <f aca="false">IF(AND($C295&lt;&gt;"",F295&gt;0),I295/F295,"")</f>
        <v/>
      </c>
      <c r="M295" s="27" t="str">
        <f aca="false">IF($C295="","",IF(OR(F295=0,F295&lt;Settings!$B$5),"Need more data",IF(AND(K295&gt;=Settings!$B$6,L295&gt;=Settings!$B$7),"Keep",IF(AND(K295&lt;Settings!$B$6,L295&lt;Settings!$B$7),"Drop","Watch"))))</f>
        <v/>
      </c>
      <c r="N295" s="27" t="str">
        <f aca="false">IF($C295="","",IF(OR(F295&gt;E295,G295&gt;F295,E295&lt;0,F295&lt;0,G295&lt;0,H295&lt;0),"Check numbers","OK"))</f>
        <v/>
      </c>
    </row>
    <row r="296" customFormat="false" ht="15" hidden="false" customHeight="false" outlineLevel="0" collapsed="false">
      <c r="A296" s="25"/>
      <c r="B296" s="21"/>
      <c r="C296" s="21"/>
      <c r="D296" s="21"/>
      <c r="E296" s="26"/>
      <c r="F296" s="26"/>
      <c r="G296" s="26"/>
      <c r="H296" s="23"/>
      <c r="I296" s="10" t="str">
        <f aca="false">IF($C296="","",G296*H296)</f>
        <v/>
      </c>
      <c r="J296" s="11" t="str">
        <f aca="false">IF(AND($C296&lt;&gt;"",E296&gt;0),F296/E296,"")</f>
        <v/>
      </c>
      <c r="K296" s="11" t="str">
        <f aca="false">IF(AND($C296&lt;&gt;"",F296&gt;0),G296/F296,"")</f>
        <v/>
      </c>
      <c r="L296" s="12" t="str">
        <f aca="false">IF(AND($C296&lt;&gt;"",F296&gt;0),I296/F296,"")</f>
        <v/>
      </c>
      <c r="M296" s="27" t="str">
        <f aca="false">IF($C296="","",IF(OR(F296=0,F296&lt;Settings!$B$5),"Need more data",IF(AND(K296&gt;=Settings!$B$6,L296&gt;=Settings!$B$7),"Keep",IF(AND(K296&lt;Settings!$B$6,L296&lt;Settings!$B$7),"Drop","Watch"))))</f>
        <v/>
      </c>
      <c r="N296" s="27" t="str">
        <f aca="false">IF($C296="","",IF(OR(F296&gt;E296,G296&gt;F296,E296&lt;0,F296&lt;0,G296&lt;0,H296&lt;0),"Check numbers","OK"))</f>
        <v/>
      </c>
    </row>
    <row r="297" customFormat="false" ht="15" hidden="false" customHeight="false" outlineLevel="0" collapsed="false">
      <c r="A297" s="25"/>
      <c r="B297" s="21"/>
      <c r="C297" s="21"/>
      <c r="D297" s="21"/>
      <c r="E297" s="26"/>
      <c r="F297" s="26"/>
      <c r="G297" s="26"/>
      <c r="H297" s="23"/>
      <c r="I297" s="10" t="str">
        <f aca="false">IF($C297="","",G297*H297)</f>
        <v/>
      </c>
      <c r="J297" s="11" t="str">
        <f aca="false">IF(AND($C297&lt;&gt;"",E297&gt;0),F297/E297,"")</f>
        <v/>
      </c>
      <c r="K297" s="11" t="str">
        <f aca="false">IF(AND($C297&lt;&gt;"",F297&gt;0),G297/F297,"")</f>
        <v/>
      </c>
      <c r="L297" s="12" t="str">
        <f aca="false">IF(AND($C297&lt;&gt;"",F297&gt;0),I297/F297,"")</f>
        <v/>
      </c>
      <c r="M297" s="27" t="str">
        <f aca="false">IF($C297="","",IF(OR(F297=0,F297&lt;Settings!$B$5),"Need more data",IF(AND(K297&gt;=Settings!$B$6,L297&gt;=Settings!$B$7),"Keep",IF(AND(K297&lt;Settings!$B$6,L297&lt;Settings!$B$7),"Drop","Watch"))))</f>
        <v/>
      </c>
      <c r="N297" s="27" t="str">
        <f aca="false">IF($C297="","",IF(OR(F297&gt;E297,G297&gt;F297,E297&lt;0,F297&lt;0,G297&lt;0,H297&lt;0),"Check numbers","OK"))</f>
        <v/>
      </c>
    </row>
    <row r="298" customFormat="false" ht="15" hidden="false" customHeight="false" outlineLevel="0" collapsed="false">
      <c r="A298" s="25"/>
      <c r="B298" s="21"/>
      <c r="C298" s="21"/>
      <c r="D298" s="21"/>
      <c r="E298" s="26"/>
      <c r="F298" s="26"/>
      <c r="G298" s="26"/>
      <c r="H298" s="23"/>
      <c r="I298" s="10" t="str">
        <f aca="false">IF($C298="","",G298*H298)</f>
        <v/>
      </c>
      <c r="J298" s="11" t="str">
        <f aca="false">IF(AND($C298&lt;&gt;"",E298&gt;0),F298/E298,"")</f>
        <v/>
      </c>
      <c r="K298" s="11" t="str">
        <f aca="false">IF(AND($C298&lt;&gt;"",F298&gt;0),G298/F298,"")</f>
        <v/>
      </c>
      <c r="L298" s="12" t="str">
        <f aca="false">IF(AND($C298&lt;&gt;"",F298&gt;0),I298/F298,"")</f>
        <v/>
      </c>
      <c r="M298" s="27" t="str">
        <f aca="false">IF($C298="","",IF(OR(F298=0,F298&lt;Settings!$B$5),"Need more data",IF(AND(K298&gt;=Settings!$B$6,L298&gt;=Settings!$B$7),"Keep",IF(AND(K298&lt;Settings!$B$6,L298&lt;Settings!$B$7),"Drop","Watch"))))</f>
        <v/>
      </c>
      <c r="N298" s="27" t="str">
        <f aca="false">IF($C298="","",IF(OR(F298&gt;E298,G298&gt;F298,E298&lt;0,F298&lt;0,G298&lt;0,H298&lt;0),"Check numbers","OK"))</f>
        <v/>
      </c>
    </row>
    <row r="299" customFormat="false" ht="15" hidden="false" customHeight="false" outlineLevel="0" collapsed="false">
      <c r="A299" s="25"/>
      <c r="B299" s="21"/>
      <c r="C299" s="21"/>
      <c r="D299" s="21"/>
      <c r="E299" s="26"/>
      <c r="F299" s="26"/>
      <c r="G299" s="26"/>
      <c r="H299" s="23"/>
      <c r="I299" s="10" t="str">
        <f aca="false">IF($C299="","",G299*H299)</f>
        <v/>
      </c>
      <c r="J299" s="11" t="str">
        <f aca="false">IF(AND($C299&lt;&gt;"",E299&gt;0),F299/E299,"")</f>
        <v/>
      </c>
      <c r="K299" s="11" t="str">
        <f aca="false">IF(AND($C299&lt;&gt;"",F299&gt;0),G299/F299,"")</f>
        <v/>
      </c>
      <c r="L299" s="12" t="str">
        <f aca="false">IF(AND($C299&lt;&gt;"",F299&gt;0),I299/F299,"")</f>
        <v/>
      </c>
      <c r="M299" s="27" t="str">
        <f aca="false">IF($C299="","",IF(OR(F299=0,F299&lt;Settings!$B$5),"Need more data",IF(AND(K299&gt;=Settings!$B$6,L299&gt;=Settings!$B$7),"Keep",IF(AND(K299&lt;Settings!$B$6,L299&lt;Settings!$B$7),"Drop","Watch"))))</f>
        <v/>
      </c>
      <c r="N299" s="27" t="str">
        <f aca="false">IF($C299="","",IF(OR(F299&gt;E299,G299&gt;F299,E299&lt;0,F299&lt;0,G299&lt;0,H299&lt;0),"Check numbers","OK"))</f>
        <v/>
      </c>
    </row>
    <row r="300" customFormat="false" ht="15" hidden="false" customHeight="false" outlineLevel="0" collapsed="false">
      <c r="A300" s="25"/>
      <c r="B300" s="21"/>
      <c r="C300" s="21"/>
      <c r="D300" s="21"/>
      <c r="E300" s="26"/>
      <c r="F300" s="26"/>
      <c r="G300" s="26"/>
      <c r="H300" s="23"/>
      <c r="I300" s="10" t="str">
        <f aca="false">IF($C300="","",G300*H300)</f>
        <v/>
      </c>
      <c r="J300" s="11" t="str">
        <f aca="false">IF(AND($C300&lt;&gt;"",E300&gt;0),F300/E300,"")</f>
        <v/>
      </c>
      <c r="K300" s="11" t="str">
        <f aca="false">IF(AND($C300&lt;&gt;"",F300&gt;0),G300/F300,"")</f>
        <v/>
      </c>
      <c r="L300" s="12" t="str">
        <f aca="false">IF(AND($C300&lt;&gt;"",F300&gt;0),I300/F300,"")</f>
        <v/>
      </c>
      <c r="M300" s="27" t="str">
        <f aca="false">IF($C300="","",IF(OR(F300=0,F300&lt;Settings!$B$5),"Need more data",IF(AND(K300&gt;=Settings!$B$6,L300&gt;=Settings!$B$7),"Keep",IF(AND(K300&lt;Settings!$B$6,L300&lt;Settings!$B$7),"Drop","Watch"))))</f>
        <v/>
      </c>
      <c r="N300" s="27" t="str">
        <f aca="false">IF($C300="","",IF(OR(F300&gt;E300,G300&gt;F300,E300&lt;0,F300&lt;0,G300&lt;0,H300&lt;0),"Check numbers","OK"))</f>
        <v/>
      </c>
    </row>
    <row r="301" customFormat="false" ht="15" hidden="false" customHeight="false" outlineLevel="0" collapsed="false">
      <c r="A301" s="25"/>
      <c r="B301" s="21"/>
      <c r="C301" s="21"/>
      <c r="D301" s="21"/>
      <c r="E301" s="26"/>
      <c r="F301" s="26"/>
      <c r="G301" s="26"/>
      <c r="H301" s="23"/>
      <c r="I301" s="10" t="str">
        <f aca="false">IF($C301="","",G301*H301)</f>
        <v/>
      </c>
      <c r="J301" s="11" t="str">
        <f aca="false">IF(AND($C301&lt;&gt;"",E301&gt;0),F301/E301,"")</f>
        <v/>
      </c>
      <c r="K301" s="11" t="str">
        <f aca="false">IF(AND($C301&lt;&gt;"",F301&gt;0),G301/F301,"")</f>
        <v/>
      </c>
      <c r="L301" s="12" t="str">
        <f aca="false">IF(AND($C301&lt;&gt;"",F301&gt;0),I301/F301,"")</f>
        <v/>
      </c>
      <c r="M301" s="27" t="str">
        <f aca="false">IF($C301="","",IF(OR(F301=0,F301&lt;Settings!$B$5),"Need more data",IF(AND(K301&gt;=Settings!$B$6,L301&gt;=Settings!$B$7),"Keep",IF(AND(K301&lt;Settings!$B$6,L301&lt;Settings!$B$7),"Drop","Watch"))))</f>
        <v/>
      </c>
      <c r="N301" s="27" t="str">
        <f aca="false">IF($C301="","",IF(OR(F301&gt;E301,G301&gt;F301,E301&lt;0,F301&lt;0,G301&lt;0,H301&lt;0),"Check numbers","OK"))</f>
        <v/>
      </c>
    </row>
    <row r="302" customFormat="false" ht="15" hidden="false" customHeight="false" outlineLevel="0" collapsed="false">
      <c r="A302" s="25"/>
      <c r="B302" s="21"/>
      <c r="C302" s="21"/>
      <c r="D302" s="21"/>
      <c r="E302" s="26"/>
      <c r="F302" s="26"/>
      <c r="G302" s="26"/>
      <c r="H302" s="23"/>
      <c r="I302" s="10" t="str">
        <f aca="false">IF($C302="","",G302*H302)</f>
        <v/>
      </c>
      <c r="J302" s="11" t="str">
        <f aca="false">IF(AND($C302&lt;&gt;"",E302&gt;0),F302/E302,"")</f>
        <v/>
      </c>
      <c r="K302" s="11" t="str">
        <f aca="false">IF(AND($C302&lt;&gt;"",F302&gt;0),G302/F302,"")</f>
        <v/>
      </c>
      <c r="L302" s="12" t="str">
        <f aca="false">IF(AND($C302&lt;&gt;"",F302&gt;0),I302/F302,"")</f>
        <v/>
      </c>
      <c r="M302" s="27" t="str">
        <f aca="false">IF($C302="","",IF(OR(F302=0,F302&lt;Settings!$B$5),"Need more data",IF(AND(K302&gt;=Settings!$B$6,L302&gt;=Settings!$B$7),"Keep",IF(AND(K302&lt;Settings!$B$6,L302&lt;Settings!$B$7),"Drop","Watch"))))</f>
        <v/>
      </c>
      <c r="N302" s="27" t="str">
        <f aca="false">IF($C302="","",IF(OR(F302&gt;E302,G302&gt;F302,E302&lt;0,F302&lt;0,G302&lt;0,H302&lt;0),"Check numbers","OK"))</f>
        <v/>
      </c>
    </row>
    <row r="303" customFormat="false" ht="15" hidden="false" customHeight="false" outlineLevel="0" collapsed="false">
      <c r="A303" s="25"/>
      <c r="B303" s="21"/>
      <c r="C303" s="21"/>
      <c r="D303" s="21"/>
      <c r="E303" s="26"/>
      <c r="F303" s="26"/>
      <c r="G303" s="26"/>
      <c r="H303" s="23"/>
      <c r="I303" s="10" t="str">
        <f aca="false">IF($C303="","",G303*H303)</f>
        <v/>
      </c>
      <c r="J303" s="11" t="str">
        <f aca="false">IF(AND($C303&lt;&gt;"",E303&gt;0),F303/E303,"")</f>
        <v/>
      </c>
      <c r="K303" s="11" t="str">
        <f aca="false">IF(AND($C303&lt;&gt;"",F303&gt;0),G303/F303,"")</f>
        <v/>
      </c>
      <c r="L303" s="12" t="str">
        <f aca="false">IF(AND($C303&lt;&gt;"",F303&gt;0),I303/F303,"")</f>
        <v/>
      </c>
      <c r="M303" s="27" t="str">
        <f aca="false">IF($C303="","",IF(OR(F303=0,F303&lt;Settings!$B$5),"Need more data",IF(AND(K303&gt;=Settings!$B$6,L303&gt;=Settings!$B$7),"Keep",IF(AND(K303&lt;Settings!$B$6,L303&lt;Settings!$B$7),"Drop","Watch"))))</f>
        <v/>
      </c>
      <c r="N303" s="27" t="str">
        <f aca="false">IF($C303="","",IF(OR(F303&gt;E303,G303&gt;F303,E303&lt;0,F303&lt;0,G303&lt;0,H303&lt;0),"Check numbers","OK"))</f>
        <v/>
      </c>
    </row>
    <row r="304" customFormat="false" ht="15" hidden="false" customHeight="false" outlineLevel="0" collapsed="false">
      <c r="A304" s="25"/>
      <c r="B304" s="21"/>
      <c r="C304" s="21"/>
      <c r="D304" s="21"/>
      <c r="E304" s="26"/>
      <c r="F304" s="26"/>
      <c r="G304" s="26"/>
      <c r="H304" s="23"/>
      <c r="I304" s="10" t="str">
        <f aca="false">IF($C304="","",G304*H304)</f>
        <v/>
      </c>
      <c r="J304" s="11" t="str">
        <f aca="false">IF(AND($C304&lt;&gt;"",E304&gt;0),F304/E304,"")</f>
        <v/>
      </c>
      <c r="K304" s="11" t="str">
        <f aca="false">IF(AND($C304&lt;&gt;"",F304&gt;0),G304/F304,"")</f>
        <v/>
      </c>
      <c r="L304" s="12" t="str">
        <f aca="false">IF(AND($C304&lt;&gt;"",F304&gt;0),I304/F304,"")</f>
        <v/>
      </c>
      <c r="M304" s="27" t="str">
        <f aca="false">IF($C304="","",IF(OR(F304=0,F304&lt;Settings!$B$5),"Need more data",IF(AND(K304&gt;=Settings!$B$6,L304&gt;=Settings!$B$7),"Keep",IF(AND(K304&lt;Settings!$B$6,L304&lt;Settings!$B$7),"Drop","Watch"))))</f>
        <v/>
      </c>
      <c r="N304" s="27" t="str">
        <f aca="false">IF($C304="","",IF(OR(F304&gt;E304,G304&gt;F304,E304&lt;0,F304&lt;0,G304&lt;0,H304&lt;0),"Check numbers","OK"))</f>
        <v/>
      </c>
    </row>
  </sheetData>
  <autoFilter ref="A4:N304"/>
  <conditionalFormatting sqref="M5:M304">
    <cfRule type="cellIs" priority="2" operator="equal" aboveAverage="0" equalAverage="0" bottom="0" percent="0" rank="0" text="" dxfId="11">
      <formula>"Keep"</formula>
    </cfRule>
    <cfRule type="cellIs" priority="3" operator="equal" aboveAverage="0" equalAverage="0" bottom="0" percent="0" rank="0" text="" dxfId="12">
      <formula>"Drop"</formula>
    </cfRule>
    <cfRule type="cellIs" priority="4" operator="equal" aboveAverage="0" equalAverage="0" bottom="0" percent="0" rank="0" text="" dxfId="13">
      <formula>"Watch"</formula>
    </cfRule>
  </conditionalFormatting>
  <conditionalFormatting sqref="N5:N304">
    <cfRule type="cellIs" priority="5" operator="equal" aboveAverage="0" equalAverage="0" bottom="0" percent="0" rank="0" text="" dxfId="12">
      <formula>"Check numbers"</formula>
    </cfRule>
  </conditionalFormatting>
  <dataValidations count="2">
    <dataValidation allowBlank="true" error="This platform is not on the Settings list. It will be counted under Other on Summary." errorStyle="warning" errorTitle="Not on the list" operator="between" showDropDown="false" showErrorMessage="false" showInputMessage="false" sqref="B5:B304" type="list">
      <formula1>Settings!$E$5:$E$7</formula1>
      <formula2>0</formula2>
    </dataValidation>
    <dataValidation allowBlank="true" error="This category is not on the Settings list. It will be counted under Other on Summary." errorStyle="warning" errorTitle="Not on the list" operator="between" showDropDown="false" showErrorMessage="false" showInputMessage="false" sqref="D5:D304" type="list">
      <formula1>Settings!$F$5:$F$12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2026-10-26T11:23:11Z</dcterms:created>
  <dc:creator>openpyxl</dc:creator>
  <dc:description/>
  <dc:language>en-US</dc:language>
  <cp:lastModifiedBy/>
  <dcterms:modified xsi:type="dcterms:W3CDTF">2026-10-26T11:23:13Z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